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82e1c6d4a61b9df/Desktop/"/>
    </mc:Choice>
  </mc:AlternateContent>
  <xr:revisionPtr revIDLastSave="0" documentId="8_{3A1704CD-74B3-4646-928E-E04323B27A5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icket" sheetId="1" r:id="rId1"/>
    <sheet name="feedbacks" sheetId="2" r:id="rId2"/>
    <sheet name="outlet-wise_count(task-2)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3" i="2"/>
  <c r="D4" i="2"/>
  <c r="D5" i="2"/>
  <c r="D6" i="2"/>
  <c r="D7" i="2"/>
  <c r="D8" i="2"/>
  <c r="D9" i="2"/>
  <c r="D10" i="2"/>
  <c r="D11" i="2"/>
  <c r="D12" i="2"/>
  <c r="D2" i="2"/>
</calcChain>
</file>

<file path=xl/sharedStrings.xml><?xml version="1.0" encoding="utf-8"?>
<sst xmlns="http://schemas.openxmlformats.org/spreadsheetml/2006/main" count="419" uniqueCount="218">
  <si>
    <t>ticket_id</t>
  </si>
  <si>
    <t>created_at</t>
  </si>
  <si>
    <t>closed_at</t>
  </si>
  <si>
    <t>outlet_id</t>
  </si>
  <si>
    <t>cms_id</t>
  </si>
  <si>
    <t>tkt-001</t>
  </si>
  <si>
    <t>OUT-03</t>
  </si>
  <si>
    <t>CMS-001</t>
  </si>
  <si>
    <t>tkt-002</t>
  </si>
  <si>
    <t>CMS-002</t>
  </si>
  <si>
    <t>tkt-003</t>
  </si>
  <si>
    <t>CMS-003</t>
  </si>
  <si>
    <t>tkt-004</t>
  </si>
  <si>
    <t>CMS-004</t>
  </si>
  <si>
    <t>tkt-005</t>
  </si>
  <si>
    <t>CMS-005</t>
  </si>
  <si>
    <t>tkt-006</t>
  </si>
  <si>
    <t>OUT-01</t>
  </si>
  <si>
    <t>CMS-006</t>
  </si>
  <si>
    <t>tkt-007</t>
  </si>
  <si>
    <t>CMS-007</t>
  </si>
  <si>
    <t>tkt-008</t>
  </si>
  <si>
    <t>CMS-008</t>
  </si>
  <si>
    <t>tkt-009</t>
  </si>
  <si>
    <t>OUT-02</t>
  </si>
  <si>
    <t>CMS-009</t>
  </si>
  <si>
    <t>tkt-010</t>
  </si>
  <si>
    <t>CMS-010</t>
  </si>
  <si>
    <t>tkt-011</t>
  </si>
  <si>
    <t>CMS-011</t>
  </si>
  <si>
    <t>tkt-012</t>
  </si>
  <si>
    <t>CMS-012</t>
  </si>
  <si>
    <t>tkt-013</t>
  </si>
  <si>
    <t>CMS-013</t>
  </si>
  <si>
    <t>tkt-014</t>
  </si>
  <si>
    <t>CMS-014</t>
  </si>
  <si>
    <t>tkt-015</t>
  </si>
  <si>
    <t>CMS-015</t>
  </si>
  <si>
    <t>tkt-016</t>
  </si>
  <si>
    <t>CMS-016</t>
  </si>
  <si>
    <t>tkt-017</t>
  </si>
  <si>
    <t>CMS-017</t>
  </si>
  <si>
    <t>tkt-018</t>
  </si>
  <si>
    <t>CMS-018</t>
  </si>
  <si>
    <t>tkt-019</t>
  </si>
  <si>
    <t>CMS-019</t>
  </si>
  <si>
    <t>tkt-020</t>
  </si>
  <si>
    <t>CMS-020</t>
  </si>
  <si>
    <t>tkt-021</t>
  </si>
  <si>
    <t>CMS-021</t>
  </si>
  <si>
    <t>tkt-022</t>
  </si>
  <si>
    <t>CMS-022</t>
  </si>
  <si>
    <t>tkt-023</t>
  </si>
  <si>
    <t>CMS-023</t>
  </si>
  <si>
    <t>tkt-024</t>
  </si>
  <si>
    <t>CMS-024</t>
  </si>
  <si>
    <t>tkt-025</t>
  </si>
  <si>
    <t>CMS-025</t>
  </si>
  <si>
    <t>tkt-026</t>
  </si>
  <si>
    <t>CMS-026</t>
  </si>
  <si>
    <t>tkt-027</t>
  </si>
  <si>
    <t>CMS-027</t>
  </si>
  <si>
    <t>tkt-028</t>
  </si>
  <si>
    <t>CMS-028</t>
  </si>
  <si>
    <t>tkt-029</t>
  </si>
  <si>
    <t>CMS-029</t>
  </si>
  <si>
    <t>tkt-030</t>
  </si>
  <si>
    <t>CMS-030</t>
  </si>
  <si>
    <t>tkt-031</t>
  </si>
  <si>
    <t>CMS-031</t>
  </si>
  <si>
    <t>tkt-032</t>
  </si>
  <si>
    <t>CMS-032</t>
  </si>
  <si>
    <t>tkt-033</t>
  </si>
  <si>
    <t>CMS-033</t>
  </si>
  <si>
    <t>tkt-034</t>
  </si>
  <si>
    <t>CMS-034</t>
  </si>
  <si>
    <t>tkt-035</t>
  </si>
  <si>
    <t>CMS-035</t>
  </si>
  <si>
    <t>tkt-036</t>
  </si>
  <si>
    <t>CMS-036</t>
  </si>
  <si>
    <t>tkt-037</t>
  </si>
  <si>
    <t>CMS-037</t>
  </si>
  <si>
    <t>tkt-038</t>
  </si>
  <si>
    <t>CMS-038</t>
  </si>
  <si>
    <t>tkt-039</t>
  </si>
  <si>
    <t>CMS-039</t>
  </si>
  <si>
    <t>tkt-040</t>
  </si>
  <si>
    <t>CMS-040</t>
  </si>
  <si>
    <t>tkt-041</t>
  </si>
  <si>
    <t>CMS-041</t>
  </si>
  <si>
    <t>tkt-042</t>
  </si>
  <si>
    <t>CMS-042</t>
  </si>
  <si>
    <t>tkt-043</t>
  </si>
  <si>
    <t>CMS-043</t>
  </si>
  <si>
    <t>tkt-044</t>
  </si>
  <si>
    <t>CMS-044</t>
  </si>
  <si>
    <t>tkt-045</t>
  </si>
  <si>
    <t>CMS-045</t>
  </si>
  <si>
    <t>tkt-046</t>
  </si>
  <si>
    <t>CMS-046</t>
  </si>
  <si>
    <t>tkt-047</t>
  </si>
  <si>
    <t>CMS-047</t>
  </si>
  <si>
    <t>tkt-048</t>
  </si>
  <si>
    <t>CMS-048</t>
  </si>
  <si>
    <t>tkt-049</t>
  </si>
  <si>
    <t>CMS-049</t>
  </si>
  <si>
    <t>tkt-050</t>
  </si>
  <si>
    <t>CMS-050</t>
  </si>
  <si>
    <t>tkt-051</t>
  </si>
  <si>
    <t>CMS-051</t>
  </si>
  <si>
    <t>tkt-052</t>
  </si>
  <si>
    <t>CMS-052</t>
  </si>
  <si>
    <t>tkt-053</t>
  </si>
  <si>
    <t>CMS-053</t>
  </si>
  <si>
    <t>tkt-054</t>
  </si>
  <si>
    <t>CMS-054</t>
  </si>
  <si>
    <t>tkt-055</t>
  </si>
  <si>
    <t>CMS-055</t>
  </si>
  <si>
    <t>tkt-056</t>
  </si>
  <si>
    <t>CMS-056</t>
  </si>
  <si>
    <t>tkt-057</t>
  </si>
  <si>
    <t>CMS-057</t>
  </si>
  <si>
    <t>tkt-058</t>
  </si>
  <si>
    <t>CMS-058</t>
  </si>
  <si>
    <t>tkt-059</t>
  </si>
  <si>
    <t>CMS-059</t>
  </si>
  <si>
    <t>tkt-060</t>
  </si>
  <si>
    <t>CMS-060</t>
  </si>
  <si>
    <t>tkt-061</t>
  </si>
  <si>
    <t>CMS-061</t>
  </si>
  <si>
    <t>tkt-062</t>
  </si>
  <si>
    <t>CMS-062</t>
  </si>
  <si>
    <t>tkt-063</t>
  </si>
  <si>
    <t>CMS-063</t>
  </si>
  <si>
    <t>tkt-064</t>
  </si>
  <si>
    <t>CMS-064</t>
  </si>
  <si>
    <t>tkt-065</t>
  </si>
  <si>
    <t>CMS-065</t>
  </si>
  <si>
    <t>tkt-066</t>
  </si>
  <si>
    <t>CMS-066</t>
  </si>
  <si>
    <t>tkt-067</t>
  </si>
  <si>
    <t>CMS-067</t>
  </si>
  <si>
    <t>tkt-068</t>
  </si>
  <si>
    <t>CMS-068</t>
  </si>
  <si>
    <t>tkt-069</t>
  </si>
  <si>
    <t>CMS-069</t>
  </si>
  <si>
    <t>tkt-070</t>
  </si>
  <si>
    <t>CMS-070</t>
  </si>
  <si>
    <t>tkt-071</t>
  </si>
  <si>
    <t>CMS-071</t>
  </si>
  <si>
    <t>tkt-072</t>
  </si>
  <si>
    <t>CMS-072</t>
  </si>
  <si>
    <t>tkt-073</t>
  </si>
  <si>
    <t>CMS-073</t>
  </si>
  <si>
    <t>tkt-074</t>
  </si>
  <si>
    <t>CMS-074</t>
  </si>
  <si>
    <t>tkt-075</t>
  </si>
  <si>
    <t>CMS-075</t>
  </si>
  <si>
    <t>tkt-076</t>
  </si>
  <si>
    <t>CMS-076</t>
  </si>
  <si>
    <t>tkt-077</t>
  </si>
  <si>
    <t>CMS-077</t>
  </si>
  <si>
    <t>tkt-078</t>
  </si>
  <si>
    <t>CMS-078</t>
  </si>
  <si>
    <t>tkt-079</t>
  </si>
  <si>
    <t>CMS-079</t>
  </si>
  <si>
    <t>tkt-080</t>
  </si>
  <si>
    <t>CMS-080</t>
  </si>
  <si>
    <t>tkt-081</t>
  </si>
  <si>
    <t>CMS-081</t>
  </si>
  <si>
    <t>tkt-082</t>
  </si>
  <si>
    <t>CMS-082</t>
  </si>
  <si>
    <t>tkt-083</t>
  </si>
  <si>
    <t>CMS-083</t>
  </si>
  <si>
    <t>tkt-084</t>
  </si>
  <si>
    <t>CMS-084</t>
  </si>
  <si>
    <t>tkt-085</t>
  </si>
  <si>
    <t>CMS-085</t>
  </si>
  <si>
    <t>tkt-086</t>
  </si>
  <si>
    <t>CMS-086</t>
  </si>
  <si>
    <t>tkt-087</t>
  </si>
  <si>
    <t>CMS-087</t>
  </si>
  <si>
    <t>tkt-088</t>
  </si>
  <si>
    <t>CMS-088</t>
  </si>
  <si>
    <t>tkt-089</t>
  </si>
  <si>
    <t>CMS-089</t>
  </si>
  <si>
    <t>tkt-090</t>
  </si>
  <si>
    <t>CMS-090</t>
  </si>
  <si>
    <t>tkt-091</t>
  </si>
  <si>
    <t>CMS-091</t>
  </si>
  <si>
    <t>tkt-092</t>
  </si>
  <si>
    <t>CMS-092</t>
  </si>
  <si>
    <t>tkt-093</t>
  </si>
  <si>
    <t>CMS-093</t>
  </si>
  <si>
    <t>tkt-094</t>
  </si>
  <si>
    <t>CMS-094</t>
  </si>
  <si>
    <t>tkt-095</t>
  </si>
  <si>
    <t>CMS-095</t>
  </si>
  <si>
    <t>tkt-096</t>
  </si>
  <si>
    <t>CMS-096</t>
  </si>
  <si>
    <t>tkt-097</t>
  </si>
  <si>
    <t>CMS-097</t>
  </si>
  <si>
    <t>tkt-098</t>
  </si>
  <si>
    <t>CMS-098</t>
  </si>
  <si>
    <t>tkt-099</t>
  </si>
  <si>
    <t>CMS-099</t>
  </si>
  <si>
    <t>tkt-100</t>
  </si>
  <si>
    <t>CMS-100</t>
  </si>
  <si>
    <t>feedback_at</t>
  </si>
  <si>
    <t>feedback_rating</t>
  </si>
  <si>
    <t>ticket_created_at</t>
  </si>
  <si>
    <t>same_day</t>
  </si>
  <si>
    <t>same_hour</t>
  </si>
  <si>
    <t>Row Labels</t>
  </si>
  <si>
    <t>(blank)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</si>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</sst>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ESH VARMA GANDRAJU" refreshedDate="45993.961579629628" createdVersion="8" refreshedVersion="8" minRefreshableVersion="3" recordCount="101" xr:uid="{92C914AB-FB1A-4CCC-89A0-AB0823C8F833}">
  <cacheSource type="worksheet">
    <worksheetSource ref="A1:G1048576" sheet="ticket"/>
  </cacheSource>
  <cacheFields count="7">
    <cacheField name="ticket_id" numFmtId="0">
      <sharedItems containsBlank="1"/>
    </cacheField>
    <cacheField name="created_at" numFmtId="168">
      <sharedItems containsNonDate="0" containsDate="1" containsString="0" containsBlank="1" minDate="2021-08-19T12:17:00" maxDate="2021-08-28T11:39:00"/>
    </cacheField>
    <cacheField name="closed_at" numFmtId="168">
      <sharedItems containsNonDate="0" containsDate="1" containsString="0" containsBlank="1" minDate="2021-08-19T15:40:00" maxDate="2021-08-28T15:07:00"/>
    </cacheField>
    <cacheField name="outlet_id" numFmtId="0">
      <sharedItems containsBlank="1" count="4">
        <s v="OUT-03"/>
        <s v="OUT-01"/>
        <s v="OUT-02"/>
        <m/>
      </sharedItems>
    </cacheField>
    <cacheField name="cms_id" numFmtId="0">
      <sharedItems containsBlank="1"/>
    </cacheField>
    <cacheField name="same_day" numFmtId="0">
      <sharedItems containsString="0" containsBlank="1" containsNumber="1" containsInteger="1" minValue="0" maxValue="1"/>
    </cacheField>
    <cacheField name="same_hour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tkt-001"/>
    <d v="2021-08-20T12:14:00"/>
    <d v="2021-08-20T15:01:00"/>
    <x v="0"/>
    <s v="CMS-001"/>
    <n v="1"/>
    <n v="0"/>
  </r>
  <r>
    <s v="tkt-002"/>
    <d v="2021-08-21T07:00:00"/>
    <d v="2021-08-21T08:54:00"/>
    <x v="0"/>
    <s v="CMS-002"/>
    <n v="1"/>
    <n v="0"/>
  </r>
  <r>
    <s v="tkt-003"/>
    <d v="2021-08-19T17:57:00"/>
    <d v="2021-08-19T23:42:00"/>
    <x v="0"/>
    <s v="CMS-003"/>
    <n v="1"/>
    <n v="0"/>
  </r>
  <r>
    <s v="tkt-004"/>
    <d v="2021-08-20T05:24:00"/>
    <d v="2021-08-20T10:21:00"/>
    <x v="0"/>
    <s v="CMS-004"/>
    <n v="1"/>
    <n v="0"/>
  </r>
  <r>
    <s v="tkt-005"/>
    <d v="2021-08-23T16:31:00"/>
    <d v="2021-08-23T21:36:00"/>
    <x v="0"/>
    <s v="CMS-005"/>
    <n v="1"/>
    <n v="0"/>
  </r>
  <r>
    <s v="tkt-006"/>
    <d v="2021-08-26T11:57:00"/>
    <d v="2021-08-26T17:49:00"/>
    <x v="1"/>
    <s v="CMS-006"/>
    <n v="1"/>
    <n v="0"/>
  </r>
  <r>
    <s v="tkt-007"/>
    <d v="2021-08-24T16:31:00"/>
    <d v="2021-08-24T16:59:00"/>
    <x v="0"/>
    <s v="CMS-007"/>
    <n v="1"/>
    <n v="1"/>
  </r>
  <r>
    <s v="tkt-008"/>
    <d v="2021-08-22T11:20:00"/>
    <d v="2021-08-22T12:55:00"/>
    <x v="0"/>
    <s v="CMS-008"/>
    <n v="1"/>
    <n v="0"/>
  </r>
  <r>
    <s v="tkt-009"/>
    <d v="2021-08-20T23:48:00"/>
    <d v="2021-08-21T00:21:00"/>
    <x v="2"/>
    <s v="CMS-009"/>
    <n v="0"/>
    <n v="0"/>
  </r>
  <r>
    <s v="tkt-010"/>
    <d v="2021-08-27T03:22:00"/>
    <d v="2021-08-27T08:23:00"/>
    <x v="1"/>
    <s v="CMS-010"/>
    <n v="1"/>
    <n v="0"/>
  </r>
  <r>
    <s v="tkt-011"/>
    <d v="2021-08-22T23:44:00"/>
    <d v="2021-08-23T01:12:00"/>
    <x v="0"/>
    <s v="CMS-011"/>
    <n v="0"/>
    <n v="0"/>
  </r>
  <r>
    <s v="tkt-012"/>
    <d v="2021-08-21T18:50:00"/>
    <d v="2021-08-22T00:09:00"/>
    <x v="0"/>
    <s v="CMS-012"/>
    <n v="0"/>
    <n v="0"/>
  </r>
  <r>
    <s v="tkt-013"/>
    <d v="2021-08-23T09:48:00"/>
    <d v="2021-08-23T11:27:00"/>
    <x v="2"/>
    <s v="CMS-013"/>
    <n v="1"/>
    <n v="0"/>
  </r>
  <r>
    <s v="tkt-014"/>
    <d v="2021-08-26T03:37:00"/>
    <d v="2021-08-26T07:52:00"/>
    <x v="1"/>
    <s v="CMS-014"/>
    <n v="1"/>
    <n v="0"/>
  </r>
  <r>
    <s v="tkt-015"/>
    <d v="2021-08-26T10:01:00"/>
    <d v="2021-08-26T13:54:00"/>
    <x v="2"/>
    <s v="CMS-015"/>
    <n v="1"/>
    <n v="0"/>
  </r>
  <r>
    <s v="tkt-016"/>
    <d v="2021-08-21T17:04:00"/>
    <d v="2021-08-21T21:59:00"/>
    <x v="2"/>
    <s v="CMS-016"/>
    <n v="1"/>
    <n v="0"/>
  </r>
  <r>
    <s v="tkt-017"/>
    <d v="2021-08-21T08:40:00"/>
    <d v="2021-08-21T12:37:00"/>
    <x v="2"/>
    <s v="CMS-017"/>
    <n v="1"/>
    <n v="0"/>
  </r>
  <r>
    <s v="tkt-018"/>
    <d v="2021-08-26T22:37:00"/>
    <d v="2021-08-27T01:52:00"/>
    <x v="2"/>
    <s v="CMS-018"/>
    <n v="0"/>
    <n v="0"/>
  </r>
  <r>
    <s v="tkt-019"/>
    <d v="2021-08-23T02:19:00"/>
    <d v="2021-08-23T04:35:00"/>
    <x v="2"/>
    <s v="CMS-019"/>
    <n v="1"/>
    <n v="0"/>
  </r>
  <r>
    <s v="tkt-020"/>
    <d v="2021-08-26T09:49:00"/>
    <d v="2021-08-26T15:47:00"/>
    <x v="1"/>
    <s v="CMS-020"/>
    <n v="1"/>
    <n v="0"/>
  </r>
  <r>
    <s v="tkt-021"/>
    <d v="2021-08-23T19:41:00"/>
    <d v="2021-08-23T21:21:00"/>
    <x v="1"/>
    <s v="CMS-021"/>
    <n v="1"/>
    <n v="0"/>
  </r>
  <r>
    <s v="tkt-022"/>
    <d v="2021-08-21T00:33:00"/>
    <d v="2021-08-21T04:39:00"/>
    <x v="0"/>
    <s v="CMS-022"/>
    <n v="1"/>
    <n v="0"/>
  </r>
  <r>
    <s v="tkt-023"/>
    <d v="2021-08-20T04:09:00"/>
    <d v="2021-08-20T05:14:00"/>
    <x v="2"/>
    <s v="CMS-023"/>
    <n v="1"/>
    <n v="0"/>
  </r>
  <r>
    <s v="tkt-024"/>
    <d v="2021-08-27T08:43:00"/>
    <d v="2021-08-27T08:56:00"/>
    <x v="0"/>
    <s v="CMS-024"/>
    <n v="1"/>
    <n v="1"/>
  </r>
  <r>
    <s v="tkt-025"/>
    <d v="2021-08-20T18:42:00"/>
    <d v="2021-08-20T23:35:00"/>
    <x v="0"/>
    <s v="CMS-025"/>
    <n v="1"/>
    <n v="0"/>
  </r>
  <r>
    <s v="tkt-026"/>
    <d v="2021-08-22T18:55:00"/>
    <d v="2021-08-22T22:14:00"/>
    <x v="2"/>
    <s v="CMS-026"/>
    <n v="1"/>
    <n v="0"/>
  </r>
  <r>
    <s v="tkt-027"/>
    <d v="2021-08-25T14:09:00"/>
    <d v="2021-08-25T18:03:00"/>
    <x v="0"/>
    <s v="CMS-027"/>
    <n v="1"/>
    <n v="0"/>
  </r>
  <r>
    <s v="tkt-028"/>
    <d v="2021-08-27T12:47:00"/>
    <d v="2021-08-27T16:26:00"/>
    <x v="1"/>
    <s v="CMS-028"/>
    <n v="1"/>
    <n v="0"/>
  </r>
  <r>
    <s v="tkt-029"/>
    <d v="2021-08-25T02:45:00"/>
    <d v="2021-08-25T05:06:00"/>
    <x v="2"/>
    <s v="CMS-029"/>
    <n v="1"/>
    <n v="0"/>
  </r>
  <r>
    <s v="tkt-030"/>
    <d v="2021-08-20T22:10:00"/>
    <d v="2021-08-20T23:46:00"/>
    <x v="2"/>
    <s v="CMS-030"/>
    <n v="1"/>
    <n v="0"/>
  </r>
  <r>
    <s v="tkt-031"/>
    <d v="2021-08-23T05:04:00"/>
    <d v="2021-08-23T08:07:00"/>
    <x v="1"/>
    <s v="CMS-031"/>
    <n v="1"/>
    <n v="0"/>
  </r>
  <r>
    <s v="tkt-032"/>
    <d v="2021-08-21T00:33:00"/>
    <d v="2021-08-21T01:45:00"/>
    <x v="0"/>
    <s v="CMS-032"/>
    <n v="1"/>
    <n v="0"/>
  </r>
  <r>
    <s v="tkt-033"/>
    <d v="2021-08-27T01:39:00"/>
    <d v="2021-08-27T05:55:00"/>
    <x v="1"/>
    <s v="CMS-033"/>
    <n v="1"/>
    <n v="0"/>
  </r>
  <r>
    <s v="tkt-034"/>
    <d v="2021-08-21T21:21:00"/>
    <d v="2021-08-22T00:04:00"/>
    <x v="1"/>
    <s v="CMS-034"/>
    <n v="0"/>
    <n v="0"/>
  </r>
  <r>
    <s v="tkt-035"/>
    <d v="2021-08-26T05:29:00"/>
    <d v="2021-08-26T07:21:00"/>
    <x v="2"/>
    <s v="CMS-035"/>
    <n v="1"/>
    <n v="0"/>
  </r>
  <r>
    <s v="tkt-036"/>
    <d v="2021-08-20T02:03:00"/>
    <d v="2021-08-20T03:47:00"/>
    <x v="0"/>
    <s v="CMS-036"/>
    <n v="1"/>
    <n v="0"/>
  </r>
  <r>
    <s v="tkt-037"/>
    <d v="2021-08-19T13:06:00"/>
    <d v="2021-08-19T15:55:00"/>
    <x v="0"/>
    <s v="CMS-037"/>
    <n v="1"/>
    <n v="0"/>
  </r>
  <r>
    <s v="tkt-038"/>
    <d v="2021-08-23T18:04:00"/>
    <d v="2021-08-23T19:51:00"/>
    <x v="2"/>
    <s v="CMS-038"/>
    <n v="1"/>
    <n v="0"/>
  </r>
  <r>
    <s v="tkt-039"/>
    <d v="2021-08-24T08:30:00"/>
    <d v="2021-08-24T11:51:00"/>
    <x v="2"/>
    <s v="CMS-039"/>
    <n v="1"/>
    <n v="0"/>
  </r>
  <r>
    <s v="tkt-040"/>
    <d v="2021-08-27T17:12:00"/>
    <d v="2021-08-27T22:20:00"/>
    <x v="1"/>
    <s v="CMS-040"/>
    <n v="1"/>
    <n v="0"/>
  </r>
  <r>
    <s v="tkt-041"/>
    <d v="2021-08-28T08:47:00"/>
    <d v="2021-08-28T12:44:00"/>
    <x v="1"/>
    <s v="CMS-041"/>
    <n v="1"/>
    <n v="0"/>
  </r>
  <r>
    <s v="tkt-042"/>
    <d v="2021-08-25T11:16:00"/>
    <d v="2021-08-25T13:33:00"/>
    <x v="2"/>
    <s v="CMS-042"/>
    <n v="1"/>
    <n v="0"/>
  </r>
  <r>
    <s v="tkt-043"/>
    <d v="2021-08-25T06:27:00"/>
    <d v="2021-08-25T08:01:00"/>
    <x v="0"/>
    <s v="CMS-043"/>
    <n v="1"/>
    <n v="0"/>
  </r>
  <r>
    <s v="tkt-044"/>
    <d v="2021-08-21T14:53:00"/>
    <d v="2021-08-21T16:50:00"/>
    <x v="1"/>
    <s v="CMS-044"/>
    <n v="1"/>
    <n v="0"/>
  </r>
  <r>
    <s v="tkt-045"/>
    <d v="2021-08-26T09:59:00"/>
    <d v="2021-08-26T12:35:00"/>
    <x v="2"/>
    <s v="CMS-045"/>
    <n v="1"/>
    <n v="0"/>
  </r>
  <r>
    <s v="tkt-046"/>
    <d v="2021-08-26T03:24:00"/>
    <d v="2021-08-26T05:34:00"/>
    <x v="2"/>
    <s v="CMS-046"/>
    <n v="1"/>
    <n v="0"/>
  </r>
  <r>
    <s v="tkt-047"/>
    <d v="2021-08-28T02:44:00"/>
    <d v="2021-08-28T03:02:00"/>
    <x v="1"/>
    <s v="CMS-047"/>
    <n v="1"/>
    <n v="0"/>
  </r>
  <r>
    <s v="tkt-048"/>
    <d v="2021-08-24T04:24:00"/>
    <d v="2021-08-24T05:33:00"/>
    <x v="2"/>
    <s v="CMS-048"/>
    <n v="1"/>
    <n v="0"/>
  </r>
  <r>
    <s v="tkt-049"/>
    <d v="2021-08-23T13:13:00"/>
    <d v="2021-08-23T16:45:00"/>
    <x v="2"/>
    <s v="CMS-049"/>
    <n v="1"/>
    <n v="0"/>
  </r>
  <r>
    <s v="tkt-050"/>
    <d v="2021-08-22T06:54:00"/>
    <d v="2021-08-22T08:55:00"/>
    <x v="2"/>
    <s v="CMS-050"/>
    <n v="1"/>
    <n v="0"/>
  </r>
  <r>
    <s v="tkt-051"/>
    <d v="2021-08-25T23:22:00"/>
    <d v="2021-08-26T01:49:00"/>
    <x v="2"/>
    <s v="CMS-051"/>
    <n v="0"/>
    <n v="0"/>
  </r>
  <r>
    <s v="tkt-052"/>
    <d v="2021-08-25T03:12:00"/>
    <d v="2021-08-25T06:44:00"/>
    <x v="1"/>
    <s v="CMS-052"/>
    <n v="1"/>
    <n v="0"/>
  </r>
  <r>
    <s v="tkt-053"/>
    <d v="2021-08-27T02:34:00"/>
    <d v="2021-08-27T05:46:00"/>
    <x v="2"/>
    <s v="CMS-053"/>
    <n v="1"/>
    <n v="0"/>
  </r>
  <r>
    <s v="tkt-054"/>
    <d v="2021-08-21T11:22:00"/>
    <d v="2021-08-21T16:30:00"/>
    <x v="1"/>
    <s v="CMS-054"/>
    <n v="1"/>
    <n v="0"/>
  </r>
  <r>
    <s v="tkt-055"/>
    <d v="2021-08-20T15:11:00"/>
    <d v="2021-08-20T18:29:00"/>
    <x v="2"/>
    <s v="CMS-055"/>
    <n v="1"/>
    <n v="0"/>
  </r>
  <r>
    <s v="tkt-056"/>
    <d v="2021-08-21T07:44:00"/>
    <d v="2021-08-21T09:55:00"/>
    <x v="0"/>
    <s v="CMS-056"/>
    <n v="1"/>
    <n v="0"/>
  </r>
  <r>
    <s v="tkt-057"/>
    <d v="2021-08-22T16:59:00"/>
    <d v="2021-08-22T19:54:00"/>
    <x v="0"/>
    <s v="CMS-057"/>
    <n v="1"/>
    <n v="0"/>
  </r>
  <r>
    <s v="tkt-058"/>
    <d v="2021-08-22T11:41:00"/>
    <d v="2021-08-22T14:38:00"/>
    <x v="1"/>
    <s v="CMS-058"/>
    <n v="1"/>
    <n v="0"/>
  </r>
  <r>
    <s v="tkt-059"/>
    <d v="2021-08-22T02:00:00"/>
    <d v="2021-08-22T07:00:00"/>
    <x v="1"/>
    <s v="CMS-059"/>
    <n v="1"/>
    <n v="0"/>
  </r>
  <r>
    <s v="tkt-060"/>
    <d v="2021-08-21T14:43:00"/>
    <d v="2021-08-21T16:24:00"/>
    <x v="0"/>
    <s v="CMS-060"/>
    <n v="1"/>
    <n v="0"/>
  </r>
  <r>
    <s v="tkt-061"/>
    <d v="2021-08-22T23:39:00"/>
    <d v="2021-08-23T01:50:00"/>
    <x v="1"/>
    <s v="CMS-061"/>
    <n v="0"/>
    <n v="0"/>
  </r>
  <r>
    <s v="tkt-062"/>
    <d v="2021-08-27T03:14:00"/>
    <d v="2021-08-27T08:52:00"/>
    <x v="2"/>
    <s v="CMS-062"/>
    <n v="1"/>
    <n v="0"/>
  </r>
  <r>
    <s v="tkt-063"/>
    <d v="2021-08-28T08:37:00"/>
    <d v="2021-08-28T09:59:00"/>
    <x v="0"/>
    <s v="CMS-063"/>
    <n v="1"/>
    <n v="0"/>
  </r>
  <r>
    <s v="tkt-064"/>
    <d v="2021-08-24T10:45:00"/>
    <d v="2021-08-24T12:55:00"/>
    <x v="0"/>
    <s v="CMS-064"/>
    <n v="1"/>
    <n v="0"/>
  </r>
  <r>
    <s v="tkt-065"/>
    <d v="2021-08-26T10:32:00"/>
    <d v="2021-08-26T12:01:00"/>
    <x v="0"/>
    <s v="CMS-065"/>
    <n v="1"/>
    <n v="0"/>
  </r>
  <r>
    <s v="tkt-066"/>
    <d v="2021-08-24T00:53:00"/>
    <d v="2021-08-24T03:26:00"/>
    <x v="1"/>
    <s v="CMS-066"/>
    <n v="1"/>
    <n v="0"/>
  </r>
  <r>
    <s v="tkt-067"/>
    <d v="2021-08-25T18:15:00"/>
    <d v="2021-08-25T19:05:00"/>
    <x v="1"/>
    <s v="CMS-067"/>
    <n v="1"/>
    <n v="0"/>
  </r>
  <r>
    <s v="tkt-068"/>
    <d v="2021-08-25T21:32:00"/>
    <d v="2021-08-26T01:14:00"/>
    <x v="0"/>
    <s v="CMS-068"/>
    <n v="0"/>
    <n v="0"/>
  </r>
  <r>
    <s v="tkt-069"/>
    <d v="2021-08-25T00:41:00"/>
    <d v="2021-08-25T04:27:00"/>
    <x v="2"/>
    <s v="CMS-069"/>
    <n v="1"/>
    <n v="0"/>
  </r>
  <r>
    <s v="tkt-070"/>
    <d v="2021-08-23T02:17:00"/>
    <d v="2021-08-23T02:47:00"/>
    <x v="0"/>
    <s v="CMS-070"/>
    <n v="1"/>
    <n v="1"/>
  </r>
  <r>
    <s v="tkt-071"/>
    <d v="2021-08-23T13:25:00"/>
    <d v="2021-08-23T13:50:00"/>
    <x v="2"/>
    <s v="CMS-071"/>
    <n v="1"/>
    <n v="1"/>
  </r>
  <r>
    <s v="tkt-072"/>
    <d v="2021-08-26T12:53:00"/>
    <d v="2021-08-26T13:31:00"/>
    <x v="1"/>
    <s v="CMS-072"/>
    <n v="1"/>
    <n v="0"/>
  </r>
  <r>
    <s v="tkt-073"/>
    <d v="2021-08-26T06:16:00"/>
    <d v="2021-08-26T08:56:00"/>
    <x v="1"/>
    <s v="CMS-073"/>
    <n v="1"/>
    <n v="0"/>
  </r>
  <r>
    <s v="tkt-074"/>
    <d v="2021-08-27T18:54:00"/>
    <d v="2021-08-27T22:34:00"/>
    <x v="1"/>
    <s v="CMS-074"/>
    <n v="1"/>
    <n v="0"/>
  </r>
  <r>
    <s v="tkt-075"/>
    <d v="2021-08-26T18:46:00"/>
    <d v="2021-08-27T00:26:00"/>
    <x v="1"/>
    <s v="CMS-075"/>
    <n v="0"/>
    <n v="0"/>
  </r>
  <r>
    <s v="tkt-076"/>
    <d v="2021-08-26T13:36:00"/>
    <d v="2021-08-26T13:56:00"/>
    <x v="0"/>
    <s v="CMS-076"/>
    <n v="1"/>
    <n v="1"/>
  </r>
  <r>
    <s v="tkt-077"/>
    <d v="2021-08-27T09:13:00"/>
    <d v="2021-08-27T10:30:00"/>
    <x v="1"/>
    <s v="CMS-077"/>
    <n v="1"/>
    <n v="0"/>
  </r>
  <r>
    <s v="tkt-078"/>
    <d v="2021-08-27T13:27:00"/>
    <d v="2021-08-27T15:55:00"/>
    <x v="2"/>
    <s v="CMS-078"/>
    <n v="1"/>
    <n v="0"/>
  </r>
  <r>
    <s v="tkt-079"/>
    <d v="2021-08-27T09:00:00"/>
    <d v="2021-08-27T12:30:00"/>
    <x v="1"/>
    <s v="CMS-079"/>
    <n v="1"/>
    <n v="0"/>
  </r>
  <r>
    <s v="tkt-080"/>
    <d v="2021-08-28T11:39:00"/>
    <d v="2021-08-28T15:07:00"/>
    <x v="1"/>
    <s v="CMS-080"/>
    <n v="1"/>
    <n v="0"/>
  </r>
  <r>
    <s v="tkt-081"/>
    <d v="2021-08-28T03:12:00"/>
    <d v="2021-08-28T04:06:00"/>
    <x v="0"/>
    <s v="CMS-081"/>
    <n v="1"/>
    <n v="0"/>
  </r>
  <r>
    <s v="tkt-082"/>
    <d v="2021-08-23T21:55:00"/>
    <d v="2021-08-24T01:29:00"/>
    <x v="2"/>
    <s v="CMS-082"/>
    <n v="0"/>
    <n v="0"/>
  </r>
  <r>
    <s v="tkt-083"/>
    <d v="2021-08-23T20:21:00"/>
    <d v="2021-08-23T22:34:00"/>
    <x v="1"/>
    <s v="CMS-083"/>
    <n v="1"/>
    <n v="0"/>
  </r>
  <r>
    <s v="tkt-084"/>
    <d v="2021-08-26T21:40:00"/>
    <d v="2021-08-26T23:56:00"/>
    <x v="1"/>
    <s v="CMS-084"/>
    <n v="1"/>
    <n v="0"/>
  </r>
  <r>
    <s v="tkt-085"/>
    <d v="2021-08-20T05:36:00"/>
    <d v="2021-08-20T06:35:00"/>
    <x v="0"/>
    <s v="CMS-085"/>
    <n v="1"/>
    <n v="0"/>
  </r>
  <r>
    <s v="tkt-086"/>
    <d v="2021-08-27T23:16:00"/>
    <d v="2021-08-28T04:28:00"/>
    <x v="2"/>
    <s v="CMS-086"/>
    <n v="0"/>
    <n v="0"/>
  </r>
  <r>
    <s v="tkt-087"/>
    <d v="2021-08-25T21:20:00"/>
    <d v="2021-08-25T21:21:00"/>
    <x v="1"/>
    <s v="CMS-087"/>
    <n v="1"/>
    <n v="1"/>
  </r>
  <r>
    <s v="tkt-088"/>
    <d v="2021-08-27T09:18:00"/>
    <d v="2021-08-27T11:26:00"/>
    <x v="1"/>
    <s v="CMS-088"/>
    <n v="1"/>
    <n v="0"/>
  </r>
  <r>
    <s v="tkt-089"/>
    <d v="2021-08-22T20:25:00"/>
    <d v="2021-08-23T01:14:00"/>
    <x v="2"/>
    <s v="CMS-089"/>
    <n v="0"/>
    <n v="0"/>
  </r>
  <r>
    <s v="tkt-090"/>
    <d v="2021-08-28T05:16:00"/>
    <d v="2021-08-28T06:10:00"/>
    <x v="0"/>
    <s v="CMS-090"/>
    <n v="1"/>
    <n v="0"/>
  </r>
  <r>
    <s v="tkt-091"/>
    <d v="2021-08-25T20:50:00"/>
    <d v="2021-08-26T00:33:00"/>
    <x v="1"/>
    <s v="CMS-091"/>
    <n v="0"/>
    <n v="0"/>
  </r>
  <r>
    <s v="tkt-092"/>
    <d v="2021-08-21T01:02:00"/>
    <d v="2021-08-21T03:26:00"/>
    <x v="2"/>
    <s v="CMS-092"/>
    <n v="1"/>
    <n v="0"/>
  </r>
  <r>
    <s v="tkt-093"/>
    <d v="2021-08-19T23:50:00"/>
    <d v="2021-08-20T02:41:00"/>
    <x v="2"/>
    <s v="CMS-093"/>
    <n v="0"/>
    <n v="0"/>
  </r>
  <r>
    <s v="tkt-094"/>
    <d v="2021-08-26T07:14:00"/>
    <d v="2021-08-26T07:27:00"/>
    <x v="2"/>
    <s v="CMS-094"/>
    <n v="1"/>
    <n v="1"/>
  </r>
  <r>
    <s v="tkt-095"/>
    <d v="2021-08-23T16:12:00"/>
    <d v="2021-08-23T17:31:00"/>
    <x v="1"/>
    <s v="CMS-095"/>
    <n v="1"/>
    <n v="0"/>
  </r>
  <r>
    <s v="tkt-096"/>
    <d v="2021-08-19T12:17:00"/>
    <d v="2021-08-19T15:40:00"/>
    <x v="0"/>
    <s v="CMS-096"/>
    <n v="1"/>
    <n v="0"/>
  </r>
  <r>
    <s v="tkt-097"/>
    <d v="2021-08-23T12:48:00"/>
    <d v="2021-08-23T14:15:00"/>
    <x v="0"/>
    <s v="CMS-097"/>
    <n v="1"/>
    <n v="0"/>
  </r>
  <r>
    <s v="tkt-098"/>
    <d v="2021-08-24T14:50:00"/>
    <d v="2021-08-24T19:22:00"/>
    <x v="2"/>
    <s v="CMS-098"/>
    <n v="1"/>
    <n v="0"/>
  </r>
  <r>
    <s v="tkt-099"/>
    <d v="2021-08-26T23:19:00"/>
    <d v="2021-08-27T03:59:00"/>
    <x v="0"/>
    <s v="CMS-099"/>
    <n v="0"/>
    <n v="0"/>
  </r>
  <r>
    <s v="tkt-100"/>
    <d v="2021-08-26T21:58:00"/>
    <d v="2021-08-26T23:30:00"/>
    <x v="2"/>
    <s v="CMS-100"/>
    <n v="1"/>
    <n v="0"/>
  </r>
  <r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84CC9-A729-4F93-960A-B7AD919A93E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5" baseField="0" baseItem="0"/>
    <dataField name="Sum of same_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70" workbookViewId="0">
      <selection activeCell="H9" sqref="H9"/>
    </sheetView>
  </sheetViews>
  <sheetFormatPr defaultRowHeight="15" x14ac:dyDescent="0.25"/>
  <cols>
    <col min="2" max="3" width="18.28515625" style="1" bestFit="1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211</v>
      </c>
      <c r="G1" t="s">
        <v>212</v>
      </c>
    </row>
    <row r="2" spans="1:7" x14ac:dyDescent="0.25">
      <c r="A2" t="s">
        <v>5</v>
      </c>
      <c r="B2" s="1">
        <v>44428.509722222218</v>
      </c>
      <c r="C2" s="1">
        <v>44428.625694444447</v>
      </c>
      <c r="D2" t="s">
        <v>6</v>
      </c>
      <c r="E2" t="s">
        <v>7</v>
      </c>
      <c r="F2">
        <f>IF(INT(B2)=INT(C2),1,0)</f>
        <v>1</v>
      </c>
      <c r="G2">
        <f>IF(AND(INT(B2)=INT(C2), HOUR(B2)=HOUR(C2)),1,0)</f>
        <v>0</v>
      </c>
    </row>
    <row r="3" spans="1:7" x14ac:dyDescent="0.25">
      <c r="A3" t="s">
        <v>8</v>
      </c>
      <c r="B3" s="1">
        <v>44429.291666666657</v>
      </c>
      <c r="C3" s="1">
        <v>44429.370833333327</v>
      </c>
      <c r="D3" t="s">
        <v>6</v>
      </c>
      <c r="E3" t="s">
        <v>9</v>
      </c>
      <c r="F3">
        <f t="shared" ref="F3:F68" si="0">IF(INT(B3)=INT(C3),1,0)</f>
        <v>1</v>
      </c>
      <c r="G3">
        <f t="shared" ref="G3:G66" si="1">IF(AND(INT(B3)=INT(C3), HOUR(B3)=HOUR(C3)),1,0)</f>
        <v>0</v>
      </c>
    </row>
    <row r="4" spans="1:7" x14ac:dyDescent="0.25">
      <c r="A4" t="s">
        <v>10</v>
      </c>
      <c r="B4" s="1">
        <v>44427.747916666667</v>
      </c>
      <c r="C4" s="1">
        <v>44427.987500000003</v>
      </c>
      <c r="D4" t="s">
        <v>6</v>
      </c>
      <c r="E4" t="s">
        <v>11</v>
      </c>
      <c r="F4">
        <f t="shared" si="0"/>
        <v>1</v>
      </c>
      <c r="G4">
        <f t="shared" si="1"/>
        <v>0</v>
      </c>
    </row>
    <row r="5" spans="1:7" x14ac:dyDescent="0.25">
      <c r="A5" t="s">
        <v>12</v>
      </c>
      <c r="B5" s="1">
        <v>44428.224999999999</v>
      </c>
      <c r="C5" s="1">
        <v>44428.431250000001</v>
      </c>
      <c r="D5" t="s">
        <v>6</v>
      </c>
      <c r="E5" t="s">
        <v>13</v>
      </c>
      <c r="F5">
        <f t="shared" si="0"/>
        <v>1</v>
      </c>
      <c r="G5">
        <f t="shared" si="1"/>
        <v>0</v>
      </c>
    </row>
    <row r="6" spans="1:7" x14ac:dyDescent="0.25">
      <c r="A6" t="s">
        <v>14</v>
      </c>
      <c r="B6" s="1">
        <v>44431.688194444447</v>
      </c>
      <c r="C6" s="1">
        <v>44431.9</v>
      </c>
      <c r="D6" t="s">
        <v>6</v>
      </c>
      <c r="E6" t="s">
        <v>15</v>
      </c>
      <c r="F6">
        <f t="shared" si="0"/>
        <v>1</v>
      </c>
      <c r="G6">
        <f t="shared" si="1"/>
        <v>0</v>
      </c>
    </row>
    <row r="7" spans="1:7" x14ac:dyDescent="0.25">
      <c r="A7" t="s">
        <v>16</v>
      </c>
      <c r="B7" s="1">
        <v>44434.497916666667</v>
      </c>
      <c r="C7" s="1">
        <v>44434.742361111108</v>
      </c>
      <c r="D7" t="s">
        <v>17</v>
      </c>
      <c r="E7" t="s">
        <v>18</v>
      </c>
      <c r="F7">
        <f t="shared" si="0"/>
        <v>1</v>
      </c>
      <c r="G7">
        <f t="shared" si="1"/>
        <v>0</v>
      </c>
    </row>
    <row r="8" spans="1:7" x14ac:dyDescent="0.25">
      <c r="A8" t="s">
        <v>19</v>
      </c>
      <c r="B8" s="1">
        <v>44432.688194444447</v>
      </c>
      <c r="C8" s="1">
        <v>44432.707638888889</v>
      </c>
      <c r="D8" t="s">
        <v>6</v>
      </c>
      <c r="E8" t="s">
        <v>20</v>
      </c>
      <c r="F8">
        <f t="shared" si="0"/>
        <v>1</v>
      </c>
      <c r="G8">
        <f t="shared" si="1"/>
        <v>1</v>
      </c>
    </row>
    <row r="9" spans="1:7" x14ac:dyDescent="0.25">
      <c r="A9" t="s">
        <v>21</v>
      </c>
      <c r="B9" s="1">
        <v>44430.472222222219</v>
      </c>
      <c r="C9" s="1">
        <v>44430.538194444453</v>
      </c>
      <c r="D9" t="s">
        <v>6</v>
      </c>
      <c r="E9" t="s">
        <v>22</v>
      </c>
      <c r="F9">
        <f t="shared" si="0"/>
        <v>1</v>
      </c>
      <c r="G9">
        <f t="shared" si="1"/>
        <v>0</v>
      </c>
    </row>
    <row r="10" spans="1:7" x14ac:dyDescent="0.25">
      <c r="A10" t="s">
        <v>23</v>
      </c>
      <c r="B10" s="1">
        <v>44428.991666666669</v>
      </c>
      <c r="C10" s="1">
        <v>44429.01458333333</v>
      </c>
      <c r="D10" t="s">
        <v>24</v>
      </c>
      <c r="E10" t="s">
        <v>25</v>
      </c>
      <c r="F10">
        <f t="shared" si="0"/>
        <v>0</v>
      </c>
      <c r="G10">
        <f t="shared" si="1"/>
        <v>0</v>
      </c>
    </row>
    <row r="11" spans="1:7" x14ac:dyDescent="0.25">
      <c r="A11" t="s">
        <v>26</v>
      </c>
      <c r="B11" s="1">
        <v>44435.140277777777</v>
      </c>
      <c r="C11" s="1">
        <v>44435.349305555559</v>
      </c>
      <c r="D11" t="s">
        <v>17</v>
      </c>
      <c r="E11" t="s">
        <v>27</v>
      </c>
      <c r="F11">
        <f t="shared" si="0"/>
        <v>1</v>
      </c>
      <c r="G11">
        <f t="shared" si="1"/>
        <v>0</v>
      </c>
    </row>
    <row r="12" spans="1:7" x14ac:dyDescent="0.25">
      <c r="A12" t="s">
        <v>28</v>
      </c>
      <c r="B12" s="1">
        <v>44430.988888888889</v>
      </c>
      <c r="C12" s="1">
        <v>44431.05</v>
      </c>
      <c r="D12" t="s">
        <v>6</v>
      </c>
      <c r="E12" t="s">
        <v>29</v>
      </c>
      <c r="F12">
        <f t="shared" si="0"/>
        <v>0</v>
      </c>
      <c r="G12">
        <f t="shared" si="1"/>
        <v>0</v>
      </c>
    </row>
    <row r="13" spans="1:7" x14ac:dyDescent="0.25">
      <c r="A13" t="s">
        <v>30</v>
      </c>
      <c r="B13" s="1">
        <v>44429.784722222219</v>
      </c>
      <c r="C13" s="1">
        <v>44430.006249999999</v>
      </c>
      <c r="D13" t="s">
        <v>6</v>
      </c>
      <c r="E13" t="s">
        <v>31</v>
      </c>
      <c r="F13">
        <f t="shared" si="0"/>
        <v>0</v>
      </c>
      <c r="G13">
        <f t="shared" si="1"/>
        <v>0</v>
      </c>
    </row>
    <row r="14" spans="1:7" x14ac:dyDescent="0.25">
      <c r="A14" t="s">
        <v>32</v>
      </c>
      <c r="B14" s="1">
        <v>44431.408333333333</v>
      </c>
      <c r="C14" s="1">
        <v>44431.477083333331</v>
      </c>
      <c r="D14" t="s">
        <v>24</v>
      </c>
      <c r="E14" t="s">
        <v>33</v>
      </c>
      <c r="F14">
        <f t="shared" si="0"/>
        <v>1</v>
      </c>
      <c r="G14">
        <f t="shared" si="1"/>
        <v>0</v>
      </c>
    </row>
    <row r="15" spans="1:7" x14ac:dyDescent="0.25">
      <c r="A15" t="s">
        <v>34</v>
      </c>
      <c r="B15" s="1">
        <v>44434.150694444441</v>
      </c>
      <c r="C15" s="1">
        <v>44434.327777777777</v>
      </c>
      <c r="D15" t="s">
        <v>17</v>
      </c>
      <c r="E15" t="s">
        <v>35</v>
      </c>
      <c r="F15">
        <f t="shared" si="0"/>
        <v>1</v>
      </c>
      <c r="G15">
        <f t="shared" si="1"/>
        <v>0</v>
      </c>
    </row>
    <row r="16" spans="1:7" x14ac:dyDescent="0.25">
      <c r="A16" t="s">
        <v>36</v>
      </c>
      <c r="B16" s="1">
        <v>44434.417361111111</v>
      </c>
      <c r="C16" s="1">
        <v>44434.57916666667</v>
      </c>
      <c r="D16" t="s">
        <v>24</v>
      </c>
      <c r="E16" t="s">
        <v>37</v>
      </c>
      <c r="F16">
        <f t="shared" si="0"/>
        <v>1</v>
      </c>
      <c r="G16">
        <f t="shared" si="1"/>
        <v>0</v>
      </c>
    </row>
    <row r="17" spans="1:7" x14ac:dyDescent="0.25">
      <c r="A17" t="s">
        <v>38</v>
      </c>
      <c r="B17" s="1">
        <v>44429.711111111108</v>
      </c>
      <c r="C17" s="1">
        <v>44429.915972222218</v>
      </c>
      <c r="D17" t="s">
        <v>24</v>
      </c>
      <c r="E17" t="s">
        <v>39</v>
      </c>
      <c r="F17">
        <f t="shared" si="0"/>
        <v>1</v>
      </c>
      <c r="G17">
        <f t="shared" si="1"/>
        <v>0</v>
      </c>
    </row>
    <row r="18" spans="1:7" x14ac:dyDescent="0.25">
      <c r="A18" t="s">
        <v>40</v>
      </c>
      <c r="B18" s="1">
        <v>44429.361111111109</v>
      </c>
      <c r="C18" s="1">
        <v>44429.525694444441</v>
      </c>
      <c r="D18" t="s">
        <v>24</v>
      </c>
      <c r="E18" t="s">
        <v>41</v>
      </c>
      <c r="F18">
        <f t="shared" si="0"/>
        <v>1</v>
      </c>
      <c r="G18">
        <f t="shared" si="1"/>
        <v>0</v>
      </c>
    </row>
    <row r="19" spans="1:7" x14ac:dyDescent="0.25">
      <c r="A19" t="s">
        <v>42</v>
      </c>
      <c r="B19" s="1">
        <v>44434.942361111112</v>
      </c>
      <c r="C19" s="1">
        <v>44435.077777777777</v>
      </c>
      <c r="D19" t="s">
        <v>24</v>
      </c>
      <c r="E19" t="s">
        <v>43</v>
      </c>
      <c r="F19">
        <f t="shared" si="0"/>
        <v>0</v>
      </c>
      <c r="G19">
        <f t="shared" si="1"/>
        <v>0</v>
      </c>
    </row>
    <row r="20" spans="1:7" x14ac:dyDescent="0.25">
      <c r="A20" t="s">
        <v>44</v>
      </c>
      <c r="B20" s="1">
        <v>44431.09652777778</v>
      </c>
      <c r="C20" s="1">
        <v>44431.190972222219</v>
      </c>
      <c r="D20" t="s">
        <v>24</v>
      </c>
      <c r="E20" t="s">
        <v>45</v>
      </c>
      <c r="F20">
        <f t="shared" si="0"/>
        <v>1</v>
      </c>
      <c r="G20">
        <f t="shared" si="1"/>
        <v>0</v>
      </c>
    </row>
    <row r="21" spans="1:7" x14ac:dyDescent="0.25">
      <c r="A21" t="s">
        <v>46</v>
      </c>
      <c r="B21" s="1">
        <v>44434.40902777778</v>
      </c>
      <c r="C21" s="1">
        <v>44434.657638888893</v>
      </c>
      <c r="D21" t="s">
        <v>17</v>
      </c>
      <c r="E21" t="s">
        <v>47</v>
      </c>
      <c r="F21">
        <f t="shared" si="0"/>
        <v>1</v>
      </c>
      <c r="G21">
        <f t="shared" si="1"/>
        <v>0</v>
      </c>
    </row>
    <row r="22" spans="1:7" x14ac:dyDescent="0.25">
      <c r="A22" t="s">
        <v>48</v>
      </c>
      <c r="B22" s="1">
        <v>44431.820138888892</v>
      </c>
      <c r="C22" s="1">
        <v>44431.88958333333</v>
      </c>
      <c r="D22" t="s">
        <v>17</v>
      </c>
      <c r="E22" t="s">
        <v>49</v>
      </c>
      <c r="F22">
        <f t="shared" si="0"/>
        <v>1</v>
      </c>
      <c r="G22">
        <f t="shared" si="1"/>
        <v>0</v>
      </c>
    </row>
    <row r="23" spans="1:7" x14ac:dyDescent="0.25">
      <c r="A23" t="s">
        <v>50</v>
      </c>
      <c r="B23" s="1">
        <v>44429.022916666669</v>
      </c>
      <c r="C23" s="1">
        <v>44429.193749999999</v>
      </c>
      <c r="D23" t="s">
        <v>6</v>
      </c>
      <c r="E23" t="s">
        <v>51</v>
      </c>
      <c r="F23">
        <f t="shared" si="0"/>
        <v>1</v>
      </c>
      <c r="G23">
        <f t="shared" si="1"/>
        <v>0</v>
      </c>
    </row>
    <row r="24" spans="1:7" x14ac:dyDescent="0.25">
      <c r="A24" t="s">
        <v>52</v>
      </c>
      <c r="B24" s="1">
        <v>44428.17291666667</v>
      </c>
      <c r="C24" s="1">
        <v>44428.218055555553</v>
      </c>
      <c r="D24" t="s">
        <v>24</v>
      </c>
      <c r="E24" t="s">
        <v>53</v>
      </c>
      <c r="F24">
        <f t="shared" si="0"/>
        <v>1</v>
      </c>
      <c r="G24">
        <f t="shared" si="1"/>
        <v>0</v>
      </c>
    </row>
    <row r="25" spans="1:7" x14ac:dyDescent="0.25">
      <c r="A25" t="s">
        <v>54</v>
      </c>
      <c r="B25" s="1">
        <v>44435.363194444442</v>
      </c>
      <c r="C25" s="1">
        <v>44435.37222222222</v>
      </c>
      <c r="D25" t="s">
        <v>6</v>
      </c>
      <c r="E25" t="s">
        <v>55</v>
      </c>
      <c r="F25">
        <f t="shared" si="0"/>
        <v>1</v>
      </c>
      <c r="G25">
        <f t="shared" si="1"/>
        <v>1</v>
      </c>
    </row>
    <row r="26" spans="1:7" x14ac:dyDescent="0.25">
      <c r="A26" t="s">
        <v>56</v>
      </c>
      <c r="B26" s="1">
        <v>44428.779166666667</v>
      </c>
      <c r="C26" s="1">
        <v>44428.982638888891</v>
      </c>
      <c r="D26" t="s">
        <v>6</v>
      </c>
      <c r="E26" t="s">
        <v>57</v>
      </c>
      <c r="F26">
        <f t="shared" si="0"/>
        <v>1</v>
      </c>
      <c r="G26">
        <f t="shared" si="1"/>
        <v>0</v>
      </c>
    </row>
    <row r="27" spans="1:7" x14ac:dyDescent="0.25">
      <c r="A27" t="s">
        <v>58</v>
      </c>
      <c r="B27" s="1">
        <v>44430.788194444453</v>
      </c>
      <c r="C27" s="1">
        <v>44430.926388888889</v>
      </c>
      <c r="D27" t="s">
        <v>24</v>
      </c>
      <c r="E27" t="s">
        <v>59</v>
      </c>
      <c r="F27">
        <f t="shared" si="0"/>
        <v>1</v>
      </c>
      <c r="G27">
        <f t="shared" si="1"/>
        <v>0</v>
      </c>
    </row>
    <row r="28" spans="1:7" x14ac:dyDescent="0.25">
      <c r="A28" t="s">
        <v>60</v>
      </c>
      <c r="B28" s="1">
        <v>44433.589583333327</v>
      </c>
      <c r="C28" s="1">
        <v>44433.752083333333</v>
      </c>
      <c r="D28" t="s">
        <v>6</v>
      </c>
      <c r="E28" t="s">
        <v>61</v>
      </c>
      <c r="F28">
        <f t="shared" si="0"/>
        <v>1</v>
      </c>
      <c r="G28">
        <f t="shared" si="1"/>
        <v>0</v>
      </c>
    </row>
    <row r="29" spans="1:7" x14ac:dyDescent="0.25">
      <c r="A29" t="s">
        <v>62</v>
      </c>
      <c r="B29" s="1">
        <v>44435.532638888893</v>
      </c>
      <c r="C29" s="1">
        <v>44435.68472222222</v>
      </c>
      <c r="D29" t="s">
        <v>17</v>
      </c>
      <c r="E29" t="s">
        <v>63</v>
      </c>
      <c r="F29">
        <f t="shared" si="0"/>
        <v>1</v>
      </c>
      <c r="G29">
        <f t="shared" si="1"/>
        <v>0</v>
      </c>
    </row>
    <row r="30" spans="1:7" x14ac:dyDescent="0.25">
      <c r="A30" t="s">
        <v>64</v>
      </c>
      <c r="B30" s="1">
        <v>44433.114583333343</v>
      </c>
      <c r="C30" s="1">
        <v>44433.212500000001</v>
      </c>
      <c r="D30" t="s">
        <v>24</v>
      </c>
      <c r="E30" t="s">
        <v>65</v>
      </c>
      <c r="F30">
        <f t="shared" si="0"/>
        <v>1</v>
      </c>
      <c r="G30">
        <f t="shared" si="1"/>
        <v>0</v>
      </c>
    </row>
    <row r="31" spans="1:7" x14ac:dyDescent="0.25">
      <c r="A31" t="s">
        <v>66</v>
      </c>
      <c r="B31" s="1">
        <v>44428.923611111109</v>
      </c>
      <c r="C31" s="1">
        <v>44428.990277777782</v>
      </c>
      <c r="D31" t="s">
        <v>24</v>
      </c>
      <c r="E31" t="s">
        <v>67</v>
      </c>
      <c r="F31">
        <f t="shared" si="0"/>
        <v>1</v>
      </c>
      <c r="G31">
        <f t="shared" si="1"/>
        <v>0</v>
      </c>
    </row>
    <row r="32" spans="1:7" x14ac:dyDescent="0.25">
      <c r="A32" t="s">
        <v>68</v>
      </c>
      <c r="B32" s="1">
        <v>44431.211111111108</v>
      </c>
      <c r="C32" s="1">
        <v>44431.338194444441</v>
      </c>
      <c r="D32" t="s">
        <v>17</v>
      </c>
      <c r="E32" t="s">
        <v>69</v>
      </c>
      <c r="F32">
        <f t="shared" si="0"/>
        <v>1</v>
      </c>
      <c r="G32">
        <f t="shared" si="1"/>
        <v>0</v>
      </c>
    </row>
    <row r="33" spans="1:7" x14ac:dyDescent="0.25">
      <c r="A33" t="s">
        <v>70</v>
      </c>
      <c r="B33" s="1">
        <v>44429.022916666669</v>
      </c>
      <c r="C33" s="1">
        <v>44429.072916666657</v>
      </c>
      <c r="D33" t="s">
        <v>6</v>
      </c>
      <c r="E33" t="s">
        <v>71</v>
      </c>
      <c r="F33">
        <f t="shared" si="0"/>
        <v>1</v>
      </c>
      <c r="G33">
        <f t="shared" si="1"/>
        <v>0</v>
      </c>
    </row>
    <row r="34" spans="1:7" x14ac:dyDescent="0.25">
      <c r="A34" t="s">
        <v>72</v>
      </c>
      <c r="B34" s="1">
        <v>44435.068749999999</v>
      </c>
      <c r="C34" s="1">
        <v>44435.246527777781</v>
      </c>
      <c r="D34" t="s">
        <v>17</v>
      </c>
      <c r="E34" t="s">
        <v>73</v>
      </c>
      <c r="F34">
        <f t="shared" si="0"/>
        <v>1</v>
      </c>
      <c r="G34">
        <f t="shared" si="1"/>
        <v>0</v>
      </c>
    </row>
    <row r="35" spans="1:7" x14ac:dyDescent="0.25">
      <c r="A35" t="s">
        <v>74</v>
      </c>
      <c r="B35" s="1">
        <v>44429.88958333333</v>
      </c>
      <c r="C35" s="1">
        <v>44430.00277777778</v>
      </c>
      <c r="D35" t="s">
        <v>17</v>
      </c>
      <c r="E35" t="s">
        <v>75</v>
      </c>
      <c r="F35">
        <f t="shared" si="0"/>
        <v>0</v>
      </c>
      <c r="G35">
        <f t="shared" si="1"/>
        <v>0</v>
      </c>
    </row>
    <row r="36" spans="1:7" x14ac:dyDescent="0.25">
      <c r="A36" t="s">
        <v>76</v>
      </c>
      <c r="B36" s="1">
        <v>44434.228472222218</v>
      </c>
      <c r="C36" s="1">
        <v>44434.306250000001</v>
      </c>
      <c r="D36" t="s">
        <v>24</v>
      </c>
      <c r="E36" t="s">
        <v>77</v>
      </c>
      <c r="F36">
        <f t="shared" si="0"/>
        <v>1</v>
      </c>
      <c r="G36">
        <f t="shared" si="1"/>
        <v>0</v>
      </c>
    </row>
    <row r="37" spans="1:7" x14ac:dyDescent="0.25">
      <c r="A37" t="s">
        <v>78</v>
      </c>
      <c r="B37" s="1">
        <v>44428.085416666669</v>
      </c>
      <c r="C37" s="1">
        <v>44428.157638888893</v>
      </c>
      <c r="D37" t="s">
        <v>6</v>
      </c>
      <c r="E37" t="s">
        <v>79</v>
      </c>
      <c r="F37">
        <f t="shared" si="0"/>
        <v>1</v>
      </c>
      <c r="G37">
        <f t="shared" si="1"/>
        <v>0</v>
      </c>
    </row>
    <row r="38" spans="1:7" x14ac:dyDescent="0.25">
      <c r="A38" t="s">
        <v>80</v>
      </c>
      <c r="B38" s="1">
        <v>44427.54583333333</v>
      </c>
      <c r="C38" s="1">
        <v>44427.663194444453</v>
      </c>
      <c r="D38" t="s">
        <v>6</v>
      </c>
      <c r="E38" t="s">
        <v>81</v>
      </c>
      <c r="F38">
        <f t="shared" si="0"/>
        <v>1</v>
      </c>
      <c r="G38">
        <f t="shared" si="1"/>
        <v>0</v>
      </c>
    </row>
    <row r="39" spans="1:7" x14ac:dyDescent="0.25">
      <c r="A39" t="s">
        <v>82</v>
      </c>
      <c r="B39" s="1">
        <v>44431.75277777778</v>
      </c>
      <c r="C39" s="1">
        <v>44431.82708333333</v>
      </c>
      <c r="D39" t="s">
        <v>24</v>
      </c>
      <c r="E39" t="s">
        <v>83</v>
      </c>
      <c r="F39">
        <f t="shared" si="0"/>
        <v>1</v>
      </c>
      <c r="G39">
        <f t="shared" si="1"/>
        <v>0</v>
      </c>
    </row>
    <row r="40" spans="1:7" x14ac:dyDescent="0.25">
      <c r="A40" t="s">
        <v>84</v>
      </c>
      <c r="B40" s="1">
        <v>44432.354166666657</v>
      </c>
      <c r="C40" s="1">
        <v>44432.493750000001</v>
      </c>
      <c r="D40" t="s">
        <v>24</v>
      </c>
      <c r="E40" t="s">
        <v>85</v>
      </c>
      <c r="F40">
        <f t="shared" si="0"/>
        <v>1</v>
      </c>
      <c r="G40">
        <f t="shared" si="1"/>
        <v>0</v>
      </c>
    </row>
    <row r="41" spans="1:7" x14ac:dyDescent="0.25">
      <c r="A41" t="s">
        <v>86</v>
      </c>
      <c r="B41" s="1">
        <v>44435.716666666667</v>
      </c>
      <c r="C41" s="1">
        <v>44435.930555555547</v>
      </c>
      <c r="D41" t="s">
        <v>17</v>
      </c>
      <c r="E41" t="s">
        <v>87</v>
      </c>
      <c r="F41">
        <f t="shared" si="0"/>
        <v>1</v>
      </c>
      <c r="G41">
        <f t="shared" si="1"/>
        <v>0</v>
      </c>
    </row>
    <row r="42" spans="1:7" x14ac:dyDescent="0.25">
      <c r="A42" t="s">
        <v>88</v>
      </c>
      <c r="B42" s="1">
        <v>44436.365972222222</v>
      </c>
      <c r="C42" s="1">
        <v>44436.530555555553</v>
      </c>
      <c r="D42" t="s">
        <v>17</v>
      </c>
      <c r="E42" t="s">
        <v>89</v>
      </c>
      <c r="F42">
        <f t="shared" si="0"/>
        <v>1</v>
      </c>
      <c r="G42">
        <f t="shared" si="1"/>
        <v>0</v>
      </c>
    </row>
    <row r="43" spans="1:7" x14ac:dyDescent="0.25">
      <c r="A43" t="s">
        <v>90</v>
      </c>
      <c r="B43" s="1">
        <v>44433.469444444447</v>
      </c>
      <c r="C43" s="1">
        <v>44433.564583333333</v>
      </c>
      <c r="D43" t="s">
        <v>24</v>
      </c>
      <c r="E43" t="s">
        <v>91</v>
      </c>
      <c r="F43">
        <f t="shared" si="0"/>
        <v>1</v>
      </c>
      <c r="G43">
        <f t="shared" si="1"/>
        <v>0</v>
      </c>
    </row>
    <row r="44" spans="1:7" x14ac:dyDescent="0.25">
      <c r="A44" t="s">
        <v>92</v>
      </c>
      <c r="B44" s="1">
        <v>44433.268750000003</v>
      </c>
      <c r="C44" s="1">
        <v>44433.334027777782</v>
      </c>
      <c r="D44" t="s">
        <v>6</v>
      </c>
      <c r="E44" t="s">
        <v>93</v>
      </c>
      <c r="F44">
        <f t="shared" si="0"/>
        <v>1</v>
      </c>
      <c r="G44">
        <f t="shared" si="1"/>
        <v>0</v>
      </c>
    </row>
    <row r="45" spans="1:7" x14ac:dyDescent="0.25">
      <c r="A45" t="s">
        <v>94</v>
      </c>
      <c r="B45" s="1">
        <v>44429.620138888888</v>
      </c>
      <c r="C45" s="1">
        <v>44429.701388888891</v>
      </c>
      <c r="D45" t="s">
        <v>17</v>
      </c>
      <c r="E45" t="s">
        <v>95</v>
      </c>
      <c r="F45">
        <f t="shared" si="0"/>
        <v>1</v>
      </c>
      <c r="G45">
        <f t="shared" si="1"/>
        <v>0</v>
      </c>
    </row>
    <row r="46" spans="1:7" x14ac:dyDescent="0.25">
      <c r="A46" t="s">
        <v>96</v>
      </c>
      <c r="B46" s="1">
        <v>44434.415972222218</v>
      </c>
      <c r="C46" s="1">
        <v>44434.524305555547</v>
      </c>
      <c r="D46" t="s">
        <v>24</v>
      </c>
      <c r="E46" t="s">
        <v>97</v>
      </c>
      <c r="F46">
        <f t="shared" si="0"/>
        <v>1</v>
      </c>
      <c r="G46">
        <f t="shared" si="1"/>
        <v>0</v>
      </c>
    </row>
    <row r="47" spans="1:7" x14ac:dyDescent="0.25">
      <c r="A47" t="s">
        <v>98</v>
      </c>
      <c r="B47" s="1">
        <v>44434.14166666667</v>
      </c>
      <c r="C47" s="1">
        <v>44434.231944444437</v>
      </c>
      <c r="D47" t="s">
        <v>24</v>
      </c>
      <c r="E47" t="s">
        <v>99</v>
      </c>
      <c r="F47">
        <f t="shared" si="0"/>
        <v>1</v>
      </c>
      <c r="G47">
        <f t="shared" si="1"/>
        <v>0</v>
      </c>
    </row>
    <row r="48" spans="1:7" x14ac:dyDescent="0.25">
      <c r="A48" t="s">
        <v>100</v>
      </c>
      <c r="B48" s="1">
        <v>44436.113888888889</v>
      </c>
      <c r="C48" s="1">
        <v>44436.126388888893</v>
      </c>
      <c r="D48" t="s">
        <v>17</v>
      </c>
      <c r="E48" t="s">
        <v>101</v>
      </c>
      <c r="F48">
        <f t="shared" si="0"/>
        <v>1</v>
      </c>
      <c r="G48">
        <f t="shared" si="1"/>
        <v>0</v>
      </c>
    </row>
    <row r="49" spans="1:7" x14ac:dyDescent="0.25">
      <c r="A49" t="s">
        <v>102</v>
      </c>
      <c r="B49" s="1">
        <v>44432.183333333327</v>
      </c>
      <c r="C49" s="1">
        <v>44432.231249999997</v>
      </c>
      <c r="D49" t="s">
        <v>24</v>
      </c>
      <c r="E49" t="s">
        <v>103</v>
      </c>
      <c r="F49">
        <f t="shared" si="0"/>
        <v>1</v>
      </c>
      <c r="G49">
        <f t="shared" si="1"/>
        <v>0</v>
      </c>
    </row>
    <row r="50" spans="1:7" x14ac:dyDescent="0.25">
      <c r="A50" t="s">
        <v>104</v>
      </c>
      <c r="B50" s="1">
        <v>44431.550694444442</v>
      </c>
      <c r="C50" s="1">
        <v>44431.697916666657</v>
      </c>
      <c r="D50" t="s">
        <v>24</v>
      </c>
      <c r="E50" t="s">
        <v>105</v>
      </c>
      <c r="F50">
        <f t="shared" si="0"/>
        <v>1</v>
      </c>
      <c r="G50">
        <f t="shared" si="1"/>
        <v>0</v>
      </c>
    </row>
    <row r="51" spans="1:7" x14ac:dyDescent="0.25">
      <c r="A51" t="s">
        <v>106</v>
      </c>
      <c r="B51" s="1">
        <v>44430.287499999999</v>
      </c>
      <c r="C51" s="1">
        <v>44430.371527777781</v>
      </c>
      <c r="D51" t="s">
        <v>24</v>
      </c>
      <c r="E51" t="s">
        <v>107</v>
      </c>
      <c r="F51">
        <f t="shared" si="0"/>
        <v>1</v>
      </c>
      <c r="G51">
        <f t="shared" si="1"/>
        <v>0</v>
      </c>
    </row>
    <row r="52" spans="1:7" x14ac:dyDescent="0.25">
      <c r="A52" t="s">
        <v>108</v>
      </c>
      <c r="B52" s="1">
        <v>44433.973611111112</v>
      </c>
      <c r="C52" s="1">
        <v>44434.075694444437</v>
      </c>
      <c r="D52" t="s">
        <v>24</v>
      </c>
      <c r="E52" t="s">
        <v>109</v>
      </c>
      <c r="F52">
        <f t="shared" si="0"/>
        <v>0</v>
      </c>
      <c r="G52">
        <f t="shared" si="1"/>
        <v>0</v>
      </c>
    </row>
    <row r="53" spans="1:7" x14ac:dyDescent="0.25">
      <c r="A53" t="s">
        <v>110</v>
      </c>
      <c r="B53" s="1">
        <v>44433.133333333331</v>
      </c>
      <c r="C53" s="1">
        <v>44433.280555555553</v>
      </c>
      <c r="D53" t="s">
        <v>17</v>
      </c>
      <c r="E53" t="s">
        <v>111</v>
      </c>
      <c r="F53">
        <f t="shared" si="0"/>
        <v>1</v>
      </c>
      <c r="G53">
        <f t="shared" si="1"/>
        <v>0</v>
      </c>
    </row>
    <row r="54" spans="1:7" x14ac:dyDescent="0.25">
      <c r="A54" t="s">
        <v>112</v>
      </c>
      <c r="B54" s="1">
        <v>44435.106944444437</v>
      </c>
      <c r="C54" s="1">
        <v>44435.240277777782</v>
      </c>
      <c r="D54" t="s">
        <v>24</v>
      </c>
      <c r="E54" t="s">
        <v>113</v>
      </c>
      <c r="F54">
        <f t="shared" si="0"/>
        <v>1</v>
      </c>
      <c r="G54">
        <f t="shared" si="1"/>
        <v>0</v>
      </c>
    </row>
    <row r="55" spans="1:7" x14ac:dyDescent="0.25">
      <c r="A55" t="s">
        <v>114</v>
      </c>
      <c r="B55" s="1">
        <v>44429.473611111112</v>
      </c>
      <c r="C55" s="1">
        <v>44429.6875</v>
      </c>
      <c r="D55" t="s">
        <v>17</v>
      </c>
      <c r="E55" t="s">
        <v>115</v>
      </c>
      <c r="F55">
        <f t="shared" si="0"/>
        <v>1</v>
      </c>
      <c r="G55">
        <f t="shared" si="1"/>
        <v>0</v>
      </c>
    </row>
    <row r="56" spans="1:7" x14ac:dyDescent="0.25">
      <c r="A56" t="s">
        <v>116</v>
      </c>
      <c r="B56" s="1">
        <v>44428.632638888892</v>
      </c>
      <c r="C56" s="1">
        <v>44428.770138888889</v>
      </c>
      <c r="D56" t="s">
        <v>24</v>
      </c>
      <c r="E56" t="s">
        <v>117</v>
      </c>
      <c r="F56">
        <f t="shared" si="0"/>
        <v>1</v>
      </c>
      <c r="G56">
        <f t="shared" si="1"/>
        <v>0</v>
      </c>
    </row>
    <row r="57" spans="1:7" x14ac:dyDescent="0.25">
      <c r="A57" t="s">
        <v>118</v>
      </c>
      <c r="B57" s="1">
        <v>44429.322222222218</v>
      </c>
      <c r="C57" s="1">
        <v>44429.413194444453</v>
      </c>
      <c r="D57" t="s">
        <v>6</v>
      </c>
      <c r="E57" t="s">
        <v>119</v>
      </c>
      <c r="F57">
        <f t="shared" si="0"/>
        <v>1</v>
      </c>
      <c r="G57">
        <f t="shared" si="1"/>
        <v>0</v>
      </c>
    </row>
    <row r="58" spans="1:7" x14ac:dyDescent="0.25">
      <c r="A58" t="s">
        <v>120</v>
      </c>
      <c r="B58" s="1">
        <v>44430.707638888889</v>
      </c>
      <c r="C58" s="1">
        <v>44430.82916666667</v>
      </c>
      <c r="D58" t="s">
        <v>6</v>
      </c>
      <c r="E58" t="s">
        <v>121</v>
      </c>
      <c r="F58">
        <f t="shared" si="0"/>
        <v>1</v>
      </c>
      <c r="G58">
        <f t="shared" si="1"/>
        <v>0</v>
      </c>
    </row>
    <row r="59" spans="1:7" x14ac:dyDescent="0.25">
      <c r="A59" t="s">
        <v>122</v>
      </c>
      <c r="B59" s="1">
        <v>44430.486805555563</v>
      </c>
      <c r="C59" s="1">
        <v>44430.609722222223</v>
      </c>
      <c r="D59" t="s">
        <v>17</v>
      </c>
      <c r="E59" t="s">
        <v>123</v>
      </c>
      <c r="F59">
        <f t="shared" si="0"/>
        <v>1</v>
      </c>
      <c r="G59">
        <f t="shared" si="1"/>
        <v>0</v>
      </c>
    </row>
    <row r="60" spans="1:7" x14ac:dyDescent="0.25">
      <c r="A60" t="s">
        <v>124</v>
      </c>
      <c r="B60" s="1">
        <v>44430.083333333343</v>
      </c>
      <c r="C60" s="1">
        <v>44430.291666666657</v>
      </c>
      <c r="D60" t="s">
        <v>17</v>
      </c>
      <c r="E60" t="s">
        <v>125</v>
      </c>
      <c r="F60">
        <f t="shared" si="0"/>
        <v>1</v>
      </c>
      <c r="G60">
        <f t="shared" si="1"/>
        <v>0</v>
      </c>
    </row>
    <row r="61" spans="1:7" x14ac:dyDescent="0.25">
      <c r="A61" t="s">
        <v>126</v>
      </c>
      <c r="B61" s="1">
        <v>44429.613194444442</v>
      </c>
      <c r="C61" s="1">
        <v>44429.683333333327</v>
      </c>
      <c r="D61" t="s">
        <v>6</v>
      </c>
      <c r="E61" t="s">
        <v>127</v>
      </c>
      <c r="F61">
        <f t="shared" si="0"/>
        <v>1</v>
      </c>
      <c r="G61">
        <f t="shared" si="1"/>
        <v>0</v>
      </c>
    </row>
    <row r="62" spans="1:7" x14ac:dyDescent="0.25">
      <c r="A62" t="s">
        <v>128</v>
      </c>
      <c r="B62" s="1">
        <v>44430.98541666667</v>
      </c>
      <c r="C62" s="1">
        <v>44431.076388888891</v>
      </c>
      <c r="D62" t="s">
        <v>17</v>
      </c>
      <c r="E62" t="s">
        <v>129</v>
      </c>
      <c r="F62">
        <f t="shared" si="0"/>
        <v>0</v>
      </c>
      <c r="G62">
        <f t="shared" si="1"/>
        <v>0</v>
      </c>
    </row>
    <row r="63" spans="1:7" x14ac:dyDescent="0.25">
      <c r="A63" t="s">
        <v>130</v>
      </c>
      <c r="B63" s="1">
        <v>44435.134722222218</v>
      </c>
      <c r="C63" s="1">
        <v>44435.369444444441</v>
      </c>
      <c r="D63" t="s">
        <v>24</v>
      </c>
      <c r="E63" t="s">
        <v>131</v>
      </c>
      <c r="F63">
        <f t="shared" si="0"/>
        <v>1</v>
      </c>
      <c r="G63">
        <f t="shared" si="1"/>
        <v>0</v>
      </c>
    </row>
    <row r="64" spans="1:7" x14ac:dyDescent="0.25">
      <c r="A64" t="s">
        <v>132</v>
      </c>
      <c r="B64" s="1">
        <v>44436.359027777777</v>
      </c>
      <c r="C64" s="1">
        <v>44436.415972222218</v>
      </c>
      <c r="D64" t="s">
        <v>6</v>
      </c>
      <c r="E64" t="s">
        <v>133</v>
      </c>
      <c r="F64">
        <f t="shared" si="0"/>
        <v>1</v>
      </c>
      <c r="G64">
        <f t="shared" si="1"/>
        <v>0</v>
      </c>
    </row>
    <row r="65" spans="1:7" x14ac:dyDescent="0.25">
      <c r="A65" t="s">
        <v>134</v>
      </c>
      <c r="B65" s="1">
        <v>44432.447916666657</v>
      </c>
      <c r="C65" s="1">
        <v>44432.538194444453</v>
      </c>
      <c r="D65" t="s">
        <v>6</v>
      </c>
      <c r="E65" t="s">
        <v>135</v>
      </c>
      <c r="F65">
        <f t="shared" si="0"/>
        <v>1</v>
      </c>
      <c r="G65">
        <f t="shared" si="1"/>
        <v>0</v>
      </c>
    </row>
    <row r="66" spans="1:7" x14ac:dyDescent="0.25">
      <c r="A66" t="s">
        <v>136</v>
      </c>
      <c r="B66" s="1">
        <v>44434.438888888893</v>
      </c>
      <c r="C66" s="1">
        <v>44434.500694444447</v>
      </c>
      <c r="D66" t="s">
        <v>6</v>
      </c>
      <c r="E66" t="s">
        <v>137</v>
      </c>
      <c r="F66">
        <f t="shared" si="0"/>
        <v>1</v>
      </c>
      <c r="G66">
        <f t="shared" si="1"/>
        <v>0</v>
      </c>
    </row>
    <row r="67" spans="1:7" x14ac:dyDescent="0.25">
      <c r="A67" t="s">
        <v>138</v>
      </c>
      <c r="B67" s="1">
        <v>44432.036805555559</v>
      </c>
      <c r="C67" s="1">
        <v>44432.143055555563</v>
      </c>
      <c r="D67" t="s">
        <v>17</v>
      </c>
      <c r="E67" t="s">
        <v>139</v>
      </c>
      <c r="F67">
        <f>IF(INT(B67)=INT(C67),1,0)</f>
        <v>1</v>
      </c>
      <c r="G67">
        <f t="shared" ref="G67:G101" si="2">IF(AND(INT(B67)=INT(C67), HOUR(B67)=HOUR(C67)),1,0)</f>
        <v>0</v>
      </c>
    </row>
    <row r="68" spans="1:7" x14ac:dyDescent="0.25">
      <c r="A68" t="s">
        <v>140</v>
      </c>
      <c r="B68" s="1">
        <v>44433.760416666657</v>
      </c>
      <c r="C68" s="1">
        <v>44433.795138888891</v>
      </c>
      <c r="D68" t="s">
        <v>17</v>
      </c>
      <c r="E68" t="s">
        <v>141</v>
      </c>
      <c r="F68">
        <f t="shared" si="0"/>
        <v>1</v>
      </c>
      <c r="G68">
        <f t="shared" si="2"/>
        <v>0</v>
      </c>
    </row>
    <row r="69" spans="1:7" x14ac:dyDescent="0.25">
      <c r="A69" t="s">
        <v>142</v>
      </c>
      <c r="B69" s="1">
        <v>44433.897222222222</v>
      </c>
      <c r="C69" s="1">
        <v>44434.051388888889</v>
      </c>
      <c r="D69" t="s">
        <v>6</v>
      </c>
      <c r="E69" t="s">
        <v>143</v>
      </c>
      <c r="F69">
        <f t="shared" ref="F69:F101" si="3">IF(INT(B69)=INT(C69),1,0)</f>
        <v>0</v>
      </c>
      <c r="G69">
        <f t="shared" si="2"/>
        <v>0</v>
      </c>
    </row>
    <row r="70" spans="1:7" x14ac:dyDescent="0.25">
      <c r="A70" t="s">
        <v>144</v>
      </c>
      <c r="B70" s="1">
        <v>44433.02847222222</v>
      </c>
      <c r="C70" s="1">
        <v>44433.185416666667</v>
      </c>
      <c r="D70" t="s">
        <v>24</v>
      </c>
      <c r="E70" t="s">
        <v>145</v>
      </c>
      <c r="F70">
        <f t="shared" si="3"/>
        <v>1</v>
      </c>
      <c r="G70">
        <f t="shared" si="2"/>
        <v>0</v>
      </c>
    </row>
    <row r="71" spans="1:7" x14ac:dyDescent="0.25">
      <c r="A71" t="s">
        <v>146</v>
      </c>
      <c r="B71" s="1">
        <v>44431.095138888893</v>
      </c>
      <c r="C71" s="1">
        <v>44431.115972222222</v>
      </c>
      <c r="D71" t="s">
        <v>6</v>
      </c>
      <c r="E71" t="s">
        <v>147</v>
      </c>
      <c r="F71">
        <f t="shared" si="3"/>
        <v>1</v>
      </c>
      <c r="G71">
        <f t="shared" si="2"/>
        <v>1</v>
      </c>
    </row>
    <row r="72" spans="1:7" x14ac:dyDescent="0.25">
      <c r="A72" t="s">
        <v>148</v>
      </c>
      <c r="B72" s="1">
        <v>44431.559027777781</v>
      </c>
      <c r="C72" s="1">
        <v>44431.576388888891</v>
      </c>
      <c r="D72" t="s">
        <v>24</v>
      </c>
      <c r="E72" t="s">
        <v>149</v>
      </c>
      <c r="F72">
        <f t="shared" si="3"/>
        <v>1</v>
      </c>
      <c r="G72">
        <f t="shared" si="2"/>
        <v>1</v>
      </c>
    </row>
    <row r="73" spans="1:7" x14ac:dyDescent="0.25">
      <c r="A73" t="s">
        <v>150</v>
      </c>
      <c r="B73" s="1">
        <v>44434.536805555559</v>
      </c>
      <c r="C73" s="1">
        <v>44434.563194444447</v>
      </c>
      <c r="D73" t="s">
        <v>17</v>
      </c>
      <c r="E73" t="s">
        <v>151</v>
      </c>
      <c r="F73">
        <f t="shared" si="3"/>
        <v>1</v>
      </c>
      <c r="G73">
        <f t="shared" si="2"/>
        <v>0</v>
      </c>
    </row>
    <row r="74" spans="1:7" x14ac:dyDescent="0.25">
      <c r="A74" t="s">
        <v>152</v>
      </c>
      <c r="B74" s="1">
        <v>44434.261111111111</v>
      </c>
      <c r="C74" s="1">
        <v>44434.37222222222</v>
      </c>
      <c r="D74" t="s">
        <v>17</v>
      </c>
      <c r="E74" t="s">
        <v>153</v>
      </c>
      <c r="F74">
        <f t="shared" si="3"/>
        <v>1</v>
      </c>
      <c r="G74">
        <f t="shared" si="2"/>
        <v>0</v>
      </c>
    </row>
    <row r="75" spans="1:7" x14ac:dyDescent="0.25">
      <c r="A75" t="s">
        <v>154</v>
      </c>
      <c r="B75" s="1">
        <v>44435.787499999999</v>
      </c>
      <c r="C75" s="1">
        <v>44435.94027777778</v>
      </c>
      <c r="D75" t="s">
        <v>17</v>
      </c>
      <c r="E75" t="s">
        <v>155</v>
      </c>
      <c r="F75">
        <f t="shared" si="3"/>
        <v>1</v>
      </c>
      <c r="G75">
        <f t="shared" si="2"/>
        <v>0</v>
      </c>
    </row>
    <row r="76" spans="1:7" x14ac:dyDescent="0.25">
      <c r="A76" t="s">
        <v>156</v>
      </c>
      <c r="B76" s="1">
        <v>44434.781944444447</v>
      </c>
      <c r="C76" s="1">
        <v>44435.018055555563</v>
      </c>
      <c r="D76" t="s">
        <v>17</v>
      </c>
      <c r="E76" t="s">
        <v>157</v>
      </c>
      <c r="F76">
        <f t="shared" si="3"/>
        <v>0</v>
      </c>
      <c r="G76">
        <f t="shared" si="2"/>
        <v>0</v>
      </c>
    </row>
    <row r="77" spans="1:7" x14ac:dyDescent="0.25">
      <c r="A77" t="s">
        <v>158</v>
      </c>
      <c r="B77" s="1">
        <v>44434.566666666673</v>
      </c>
      <c r="C77" s="1">
        <v>44434.580555555563</v>
      </c>
      <c r="D77" t="s">
        <v>6</v>
      </c>
      <c r="E77" t="s">
        <v>159</v>
      </c>
      <c r="F77">
        <f t="shared" si="3"/>
        <v>1</v>
      </c>
      <c r="G77">
        <f t="shared" si="2"/>
        <v>1</v>
      </c>
    </row>
    <row r="78" spans="1:7" x14ac:dyDescent="0.25">
      <c r="A78" t="s">
        <v>160</v>
      </c>
      <c r="B78" s="1">
        <v>44435.384027777778</v>
      </c>
      <c r="C78" s="1">
        <v>44435.4375</v>
      </c>
      <c r="D78" t="s">
        <v>17</v>
      </c>
      <c r="E78" t="s">
        <v>161</v>
      </c>
      <c r="F78">
        <f t="shared" si="3"/>
        <v>1</v>
      </c>
      <c r="G78">
        <f t="shared" si="2"/>
        <v>0</v>
      </c>
    </row>
    <row r="79" spans="1:7" x14ac:dyDescent="0.25">
      <c r="A79" t="s">
        <v>162</v>
      </c>
      <c r="B79" s="1">
        <v>44435.560416666667</v>
      </c>
      <c r="C79" s="1">
        <v>44435.663194444453</v>
      </c>
      <c r="D79" t="s">
        <v>24</v>
      </c>
      <c r="E79" t="s">
        <v>163</v>
      </c>
      <c r="F79">
        <f t="shared" si="3"/>
        <v>1</v>
      </c>
      <c r="G79">
        <f t="shared" si="2"/>
        <v>0</v>
      </c>
    </row>
    <row r="80" spans="1:7" x14ac:dyDescent="0.25">
      <c r="A80" t="s">
        <v>164</v>
      </c>
      <c r="B80" s="1">
        <v>44435.375</v>
      </c>
      <c r="C80" s="1">
        <v>44435.520833333343</v>
      </c>
      <c r="D80" t="s">
        <v>17</v>
      </c>
      <c r="E80" t="s">
        <v>165</v>
      </c>
      <c r="F80">
        <f t="shared" si="3"/>
        <v>1</v>
      </c>
      <c r="G80">
        <f t="shared" si="2"/>
        <v>0</v>
      </c>
    </row>
    <row r="81" spans="1:7" x14ac:dyDescent="0.25">
      <c r="A81" t="s">
        <v>166</v>
      </c>
      <c r="B81" s="1">
        <v>44436.48541666667</v>
      </c>
      <c r="C81" s="1">
        <v>44436.629861111112</v>
      </c>
      <c r="D81" t="s">
        <v>17</v>
      </c>
      <c r="E81" t="s">
        <v>167</v>
      </c>
      <c r="F81">
        <f t="shared" si="3"/>
        <v>1</v>
      </c>
      <c r="G81">
        <f t="shared" si="2"/>
        <v>0</v>
      </c>
    </row>
    <row r="82" spans="1:7" x14ac:dyDescent="0.25">
      <c r="A82" t="s">
        <v>168</v>
      </c>
      <c r="B82" s="1">
        <v>44436.133333333331</v>
      </c>
      <c r="C82" s="1">
        <v>44436.17083333333</v>
      </c>
      <c r="D82" t="s">
        <v>6</v>
      </c>
      <c r="E82" t="s">
        <v>169</v>
      </c>
      <c r="F82">
        <f t="shared" si="3"/>
        <v>1</v>
      </c>
      <c r="G82">
        <f t="shared" si="2"/>
        <v>0</v>
      </c>
    </row>
    <row r="83" spans="1:7" x14ac:dyDescent="0.25">
      <c r="A83" t="s">
        <v>170</v>
      </c>
      <c r="B83" s="1">
        <v>44431.913194444453</v>
      </c>
      <c r="C83" s="1">
        <v>44432.061805555553</v>
      </c>
      <c r="D83" t="s">
        <v>24</v>
      </c>
      <c r="E83" t="s">
        <v>171</v>
      </c>
      <c r="F83">
        <f t="shared" si="3"/>
        <v>0</v>
      </c>
      <c r="G83">
        <f t="shared" si="2"/>
        <v>0</v>
      </c>
    </row>
    <row r="84" spans="1:7" x14ac:dyDescent="0.25">
      <c r="A84" t="s">
        <v>172</v>
      </c>
      <c r="B84" s="1">
        <v>44431.847916666673</v>
      </c>
      <c r="C84" s="1">
        <v>44431.94027777778</v>
      </c>
      <c r="D84" t="s">
        <v>17</v>
      </c>
      <c r="E84" t="s">
        <v>173</v>
      </c>
      <c r="F84">
        <f t="shared" si="3"/>
        <v>1</v>
      </c>
      <c r="G84">
        <f t="shared" si="2"/>
        <v>0</v>
      </c>
    </row>
    <row r="85" spans="1:7" x14ac:dyDescent="0.25">
      <c r="A85" t="s">
        <v>174</v>
      </c>
      <c r="B85" s="1">
        <v>44434.902777777781</v>
      </c>
      <c r="C85" s="1">
        <v>44434.99722222222</v>
      </c>
      <c r="D85" t="s">
        <v>17</v>
      </c>
      <c r="E85" t="s">
        <v>175</v>
      </c>
      <c r="F85">
        <f t="shared" si="3"/>
        <v>1</v>
      </c>
      <c r="G85">
        <f t="shared" si="2"/>
        <v>0</v>
      </c>
    </row>
    <row r="86" spans="1:7" x14ac:dyDescent="0.25">
      <c r="A86" t="s">
        <v>176</v>
      </c>
      <c r="B86" s="1">
        <v>44428.23333333333</v>
      </c>
      <c r="C86" s="1">
        <v>44428.274305555547</v>
      </c>
      <c r="D86" t="s">
        <v>6</v>
      </c>
      <c r="E86" t="s">
        <v>177</v>
      </c>
      <c r="F86">
        <f t="shared" si="3"/>
        <v>1</v>
      </c>
      <c r="G86">
        <f t="shared" si="2"/>
        <v>0</v>
      </c>
    </row>
    <row r="87" spans="1:7" x14ac:dyDescent="0.25">
      <c r="A87" t="s">
        <v>178</v>
      </c>
      <c r="B87" s="1">
        <v>44435.969444444447</v>
      </c>
      <c r="C87" s="1">
        <v>44436.186111111107</v>
      </c>
      <c r="D87" t="s">
        <v>24</v>
      </c>
      <c r="E87" t="s">
        <v>179</v>
      </c>
      <c r="F87">
        <f t="shared" si="3"/>
        <v>0</v>
      </c>
      <c r="G87">
        <f t="shared" si="2"/>
        <v>0</v>
      </c>
    </row>
    <row r="88" spans="1:7" x14ac:dyDescent="0.25">
      <c r="A88" t="s">
        <v>180</v>
      </c>
      <c r="B88" s="1">
        <v>44433.888888888891</v>
      </c>
      <c r="C88" s="1">
        <v>44433.88958333333</v>
      </c>
      <c r="D88" t="s">
        <v>17</v>
      </c>
      <c r="E88" t="s">
        <v>181</v>
      </c>
      <c r="F88">
        <f t="shared" si="3"/>
        <v>1</v>
      </c>
      <c r="G88">
        <f t="shared" si="2"/>
        <v>1</v>
      </c>
    </row>
    <row r="89" spans="1:7" x14ac:dyDescent="0.25">
      <c r="A89" t="s">
        <v>182</v>
      </c>
      <c r="B89" s="1">
        <v>44435.387499999997</v>
      </c>
      <c r="C89" s="1">
        <v>44435.476388888892</v>
      </c>
      <c r="D89" t="s">
        <v>17</v>
      </c>
      <c r="E89" t="s">
        <v>183</v>
      </c>
      <c r="F89">
        <f t="shared" si="3"/>
        <v>1</v>
      </c>
      <c r="G89">
        <f t="shared" si="2"/>
        <v>0</v>
      </c>
    </row>
    <row r="90" spans="1:7" x14ac:dyDescent="0.25">
      <c r="A90" t="s">
        <v>184</v>
      </c>
      <c r="B90" s="1">
        <v>44430.850694444453</v>
      </c>
      <c r="C90" s="1">
        <v>44431.051388888889</v>
      </c>
      <c r="D90" t="s">
        <v>24</v>
      </c>
      <c r="E90" t="s">
        <v>185</v>
      </c>
      <c r="F90">
        <f t="shared" si="3"/>
        <v>0</v>
      </c>
      <c r="G90">
        <f t="shared" si="2"/>
        <v>0</v>
      </c>
    </row>
    <row r="91" spans="1:7" x14ac:dyDescent="0.25">
      <c r="A91" t="s">
        <v>186</v>
      </c>
      <c r="B91" s="1">
        <v>44436.219444444447</v>
      </c>
      <c r="C91" s="1">
        <v>44436.256944444453</v>
      </c>
      <c r="D91" t="s">
        <v>6</v>
      </c>
      <c r="E91" t="s">
        <v>187</v>
      </c>
      <c r="F91">
        <f t="shared" si="3"/>
        <v>1</v>
      </c>
      <c r="G91">
        <f t="shared" si="2"/>
        <v>0</v>
      </c>
    </row>
    <row r="92" spans="1:7" x14ac:dyDescent="0.25">
      <c r="A92" t="s">
        <v>188</v>
      </c>
      <c r="B92" s="1">
        <v>44433.868055555547</v>
      </c>
      <c r="C92" s="1">
        <v>44434.022916666669</v>
      </c>
      <c r="D92" t="s">
        <v>17</v>
      </c>
      <c r="E92" t="s">
        <v>189</v>
      </c>
      <c r="F92">
        <f t="shared" si="3"/>
        <v>0</v>
      </c>
      <c r="G92">
        <f t="shared" si="2"/>
        <v>0</v>
      </c>
    </row>
    <row r="93" spans="1:7" x14ac:dyDescent="0.25">
      <c r="A93" t="s">
        <v>190</v>
      </c>
      <c r="B93" s="1">
        <v>44429.043055555558</v>
      </c>
      <c r="C93" s="1">
        <v>44429.143055555563</v>
      </c>
      <c r="D93" t="s">
        <v>24</v>
      </c>
      <c r="E93" t="s">
        <v>191</v>
      </c>
      <c r="F93">
        <f t="shared" si="3"/>
        <v>1</v>
      </c>
      <c r="G93">
        <f t="shared" si="2"/>
        <v>0</v>
      </c>
    </row>
    <row r="94" spans="1:7" x14ac:dyDescent="0.25">
      <c r="A94" t="s">
        <v>192</v>
      </c>
      <c r="B94" s="1">
        <v>44427.993055555547</v>
      </c>
      <c r="C94" s="1">
        <v>44428.111805555563</v>
      </c>
      <c r="D94" t="s">
        <v>24</v>
      </c>
      <c r="E94" t="s">
        <v>193</v>
      </c>
      <c r="F94">
        <f t="shared" si="3"/>
        <v>0</v>
      </c>
      <c r="G94">
        <f t="shared" si="2"/>
        <v>0</v>
      </c>
    </row>
    <row r="95" spans="1:7" x14ac:dyDescent="0.25">
      <c r="A95" t="s">
        <v>194</v>
      </c>
      <c r="B95" s="1">
        <v>44434.301388888889</v>
      </c>
      <c r="C95" s="1">
        <v>44434.310416666667</v>
      </c>
      <c r="D95" t="s">
        <v>24</v>
      </c>
      <c r="E95" t="s">
        <v>195</v>
      </c>
      <c r="F95">
        <f t="shared" si="3"/>
        <v>1</v>
      </c>
      <c r="G95">
        <f t="shared" si="2"/>
        <v>1</v>
      </c>
    </row>
    <row r="96" spans="1:7" x14ac:dyDescent="0.25">
      <c r="A96" t="s">
        <v>196</v>
      </c>
      <c r="B96" s="1">
        <v>44431.675000000003</v>
      </c>
      <c r="C96" s="1">
        <v>44431.729861111111</v>
      </c>
      <c r="D96" t="s">
        <v>17</v>
      </c>
      <c r="E96" t="s">
        <v>197</v>
      </c>
      <c r="F96">
        <f t="shared" si="3"/>
        <v>1</v>
      </c>
      <c r="G96">
        <f t="shared" si="2"/>
        <v>0</v>
      </c>
    </row>
    <row r="97" spans="1:7" x14ac:dyDescent="0.25">
      <c r="A97" t="s">
        <v>198</v>
      </c>
      <c r="B97" s="1">
        <v>44427.511805555558</v>
      </c>
      <c r="C97" s="1">
        <v>44427.652777777781</v>
      </c>
      <c r="D97" t="s">
        <v>6</v>
      </c>
      <c r="E97" t="s">
        <v>199</v>
      </c>
      <c r="F97">
        <f t="shared" si="3"/>
        <v>1</v>
      </c>
      <c r="G97">
        <f t="shared" si="2"/>
        <v>0</v>
      </c>
    </row>
    <row r="98" spans="1:7" x14ac:dyDescent="0.25">
      <c r="A98" t="s">
        <v>200</v>
      </c>
      <c r="B98" s="1">
        <v>44431.533333333333</v>
      </c>
      <c r="C98" s="1">
        <v>44431.59375</v>
      </c>
      <c r="D98" t="s">
        <v>6</v>
      </c>
      <c r="E98" t="s">
        <v>201</v>
      </c>
      <c r="F98">
        <f t="shared" si="3"/>
        <v>1</v>
      </c>
      <c r="G98">
        <f t="shared" si="2"/>
        <v>0</v>
      </c>
    </row>
    <row r="99" spans="1:7" x14ac:dyDescent="0.25">
      <c r="A99" t="s">
        <v>202</v>
      </c>
      <c r="B99" s="1">
        <v>44432.618055555547</v>
      </c>
      <c r="C99" s="1">
        <v>44432.806944444441</v>
      </c>
      <c r="D99" t="s">
        <v>24</v>
      </c>
      <c r="E99" t="s">
        <v>203</v>
      </c>
      <c r="F99">
        <f t="shared" si="3"/>
        <v>1</v>
      </c>
      <c r="G99">
        <f t="shared" si="2"/>
        <v>0</v>
      </c>
    </row>
    <row r="100" spans="1:7" x14ac:dyDescent="0.25">
      <c r="A100" t="s">
        <v>204</v>
      </c>
      <c r="B100" s="1">
        <v>44434.97152777778</v>
      </c>
      <c r="C100" s="1">
        <v>44435.165972222218</v>
      </c>
      <c r="D100" t="s">
        <v>6</v>
      </c>
      <c r="E100" t="s">
        <v>205</v>
      </c>
      <c r="F100">
        <f t="shared" si="3"/>
        <v>0</v>
      </c>
      <c r="G100">
        <f t="shared" si="2"/>
        <v>0</v>
      </c>
    </row>
    <row r="101" spans="1:7" x14ac:dyDescent="0.25">
      <c r="A101" t="s">
        <v>206</v>
      </c>
      <c r="B101" s="1">
        <v>44434.915277777778</v>
      </c>
      <c r="C101" s="1">
        <v>44434.979166666657</v>
      </c>
      <c r="D101" t="s">
        <v>24</v>
      </c>
      <c r="E101" t="s">
        <v>207</v>
      </c>
      <c r="F101">
        <f t="shared" si="3"/>
        <v>1</v>
      </c>
      <c r="G101">
        <f t="shared" si="2"/>
        <v>0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workbookViewId="0">
      <selection activeCell="J12" sqref="J12"/>
    </sheetView>
  </sheetViews>
  <sheetFormatPr defaultRowHeight="15" x14ac:dyDescent="0.25"/>
  <cols>
    <col min="2" max="2" width="18.28515625" style="1" bestFit="1" customWidth="1"/>
    <col min="4" max="4" width="18.28515625" style="1" bestFit="1" customWidth="1"/>
  </cols>
  <sheetData>
    <row r="1" spans="1:4" x14ac:dyDescent="0.25">
      <c r="A1" t="s">
        <v>4</v>
      </c>
      <c r="B1" s="1" t="s">
        <v>208</v>
      </c>
      <c r="C1" t="s">
        <v>209</v>
      </c>
      <c r="D1" s="1" t="s">
        <v>210</v>
      </c>
    </row>
    <row r="2" spans="1:4" x14ac:dyDescent="0.25">
      <c r="A2" t="s">
        <v>7</v>
      </c>
      <c r="B2" s="1">
        <v>44429.250694444447</v>
      </c>
      <c r="C2">
        <v>1</v>
      </c>
      <c r="D2" s="1">
        <f>_xlfn.XLOOKUP(A2, ticket!E:E, ticket!B:B)</f>
        <v>44428.509722222218</v>
      </c>
    </row>
    <row r="3" spans="1:4" x14ac:dyDescent="0.25">
      <c r="A3" t="s">
        <v>9</v>
      </c>
      <c r="B3" s="1">
        <v>44430.20416666667</v>
      </c>
      <c r="C3">
        <v>4</v>
      </c>
      <c r="D3" s="1">
        <f>_xlfn.XLOOKUP(A3, ticket!E:E, ticket!B:B)</f>
        <v>44429.291666666657</v>
      </c>
    </row>
    <row r="4" spans="1:4" x14ac:dyDescent="0.25">
      <c r="A4" t="s">
        <v>11</v>
      </c>
      <c r="B4" s="1">
        <v>44428.612500000003</v>
      </c>
      <c r="C4">
        <v>5</v>
      </c>
      <c r="D4" s="1">
        <f>_xlfn.XLOOKUP(A4, ticket!E:E, ticket!B:B)</f>
        <v>44427.747916666667</v>
      </c>
    </row>
    <row r="5" spans="1:4" x14ac:dyDescent="0.25">
      <c r="A5" t="s">
        <v>13</v>
      </c>
      <c r="B5" s="1">
        <v>44428.972916666673</v>
      </c>
      <c r="C5">
        <v>2</v>
      </c>
      <c r="D5" s="1">
        <f>_xlfn.XLOOKUP(A5, ticket!E:E, ticket!B:B)</f>
        <v>44428.224999999999</v>
      </c>
    </row>
    <row r="6" spans="1:4" x14ac:dyDescent="0.25">
      <c r="A6" t="s">
        <v>15</v>
      </c>
      <c r="B6" s="1">
        <v>44432.441666666673</v>
      </c>
      <c r="C6">
        <v>1</v>
      </c>
      <c r="D6" s="1">
        <f>_xlfn.XLOOKUP(A6, ticket!E:E, ticket!B:B)</f>
        <v>44431.688194444447</v>
      </c>
    </row>
    <row r="7" spans="1:4" x14ac:dyDescent="0.25">
      <c r="A7" t="s">
        <v>18</v>
      </c>
      <c r="B7" s="1">
        <v>44435.28402777778</v>
      </c>
      <c r="C7">
        <v>5</v>
      </c>
      <c r="D7" s="1">
        <f>_xlfn.XLOOKUP(A7, ticket!E:E, ticket!B:B)</f>
        <v>44434.497916666667</v>
      </c>
    </row>
    <row r="8" spans="1:4" x14ac:dyDescent="0.25">
      <c r="A8" t="s">
        <v>20</v>
      </c>
      <c r="B8" s="1">
        <v>44432.915972222218</v>
      </c>
      <c r="C8">
        <v>3</v>
      </c>
      <c r="D8" s="1">
        <f>_xlfn.XLOOKUP(A8, ticket!E:E, ticket!B:B)</f>
        <v>44432.688194444447</v>
      </c>
    </row>
    <row r="9" spans="1:4" x14ac:dyDescent="0.25">
      <c r="A9" t="s">
        <v>22</v>
      </c>
      <c r="B9" s="1">
        <v>44430.746527777781</v>
      </c>
      <c r="C9">
        <v>5</v>
      </c>
      <c r="D9" s="1">
        <f>_xlfn.XLOOKUP(A9, ticket!E:E, ticket!B:B)</f>
        <v>44430.472222222219</v>
      </c>
    </row>
    <row r="10" spans="1:4" x14ac:dyDescent="0.25">
      <c r="A10" t="s">
        <v>25</v>
      </c>
      <c r="B10" s="1">
        <v>44429.76458333333</v>
      </c>
      <c r="C10">
        <v>2</v>
      </c>
      <c r="D10" s="1">
        <f>_xlfn.XLOOKUP(A10, ticket!E:E, ticket!B:B)</f>
        <v>44428.991666666669</v>
      </c>
    </row>
    <row r="11" spans="1:4" x14ac:dyDescent="0.25">
      <c r="A11" t="s">
        <v>27</v>
      </c>
      <c r="B11" s="1">
        <v>44435.515972222223</v>
      </c>
      <c r="C11">
        <v>1</v>
      </c>
      <c r="D11" s="1">
        <f>_xlfn.XLOOKUP(A11, ticket!E:E, ticket!B:B)</f>
        <v>44435.140277777777</v>
      </c>
    </row>
    <row r="12" spans="1:4" x14ac:dyDescent="0.25">
      <c r="A12" t="s">
        <v>29</v>
      </c>
      <c r="B12" s="1">
        <v>44431.633333333331</v>
      </c>
      <c r="C12">
        <v>2</v>
      </c>
      <c r="D12" s="1">
        <f>_xlfn.XLOOKUP(A12, ticket!E:E, ticket!B:B)</f>
        <v>44430.988888888889</v>
      </c>
    </row>
    <row r="13" spans="1:4" x14ac:dyDescent="0.25">
      <c r="A13" t="s">
        <v>31</v>
      </c>
      <c r="B13" s="1">
        <v>44430.506249999999</v>
      </c>
      <c r="C13">
        <v>5</v>
      </c>
      <c r="D13" s="1">
        <f>_xlfn.XLOOKUP(A13, ticket!E:E, ticket!B:B)</f>
        <v>44429.784722222219</v>
      </c>
    </row>
    <row r="14" spans="1:4" x14ac:dyDescent="0.25">
      <c r="A14" t="s">
        <v>33</v>
      </c>
      <c r="B14" s="1">
        <v>44431.602083333331</v>
      </c>
      <c r="C14">
        <v>1</v>
      </c>
      <c r="D14" s="1">
        <f>_xlfn.XLOOKUP(A14, ticket!E:E, ticket!B:B)</f>
        <v>44431.408333333333</v>
      </c>
    </row>
    <row r="15" spans="1:4" x14ac:dyDescent="0.25">
      <c r="A15" t="s">
        <v>35</v>
      </c>
      <c r="B15" s="1">
        <v>44434.494444444441</v>
      </c>
      <c r="C15">
        <v>3</v>
      </c>
      <c r="D15" s="1">
        <f>_xlfn.XLOOKUP(A15, ticket!E:E, ticket!B:B)</f>
        <v>44434.150694444441</v>
      </c>
    </row>
    <row r="16" spans="1:4" x14ac:dyDescent="0.25">
      <c r="A16" t="s">
        <v>37</v>
      </c>
      <c r="B16" s="1">
        <v>44435.32916666667</v>
      </c>
      <c r="C16">
        <v>5</v>
      </c>
      <c r="D16" s="1">
        <f>_xlfn.XLOOKUP(A16, ticket!E:E, ticket!B:B)</f>
        <v>44434.417361111111</v>
      </c>
    </row>
    <row r="17" spans="1:4" x14ac:dyDescent="0.25">
      <c r="A17" t="s">
        <v>39</v>
      </c>
      <c r="B17" s="1">
        <v>44430.290972222218</v>
      </c>
      <c r="C17">
        <v>5</v>
      </c>
      <c r="D17" s="1">
        <f>_xlfn.XLOOKUP(A17, ticket!E:E, ticket!B:B)</f>
        <v>44429.711111111108</v>
      </c>
    </row>
    <row r="18" spans="1:4" x14ac:dyDescent="0.25">
      <c r="A18" t="s">
        <v>41</v>
      </c>
      <c r="B18" s="1">
        <v>44430.067361111112</v>
      </c>
      <c r="C18">
        <v>1</v>
      </c>
      <c r="D18" s="1">
        <f>_xlfn.XLOOKUP(A18, ticket!E:E, ticket!B:B)</f>
        <v>44429.361111111109</v>
      </c>
    </row>
    <row r="19" spans="1:4" x14ac:dyDescent="0.25">
      <c r="A19" t="s">
        <v>43</v>
      </c>
      <c r="B19" s="1">
        <v>44435.244444444441</v>
      </c>
      <c r="C19">
        <v>1</v>
      </c>
      <c r="D19" s="1">
        <f>_xlfn.XLOOKUP(A19, ticket!E:E, ticket!B:B)</f>
        <v>44434.942361111112</v>
      </c>
    </row>
    <row r="20" spans="1:4" x14ac:dyDescent="0.25">
      <c r="A20" t="s">
        <v>45</v>
      </c>
      <c r="B20" s="1">
        <v>44431.649305555547</v>
      </c>
      <c r="C20">
        <v>4</v>
      </c>
      <c r="D20" s="1">
        <f>_xlfn.XLOOKUP(A20, ticket!E:E, ticket!B:B)</f>
        <v>44431.09652777778</v>
      </c>
    </row>
    <row r="21" spans="1:4" x14ac:dyDescent="0.25">
      <c r="A21" t="s">
        <v>47</v>
      </c>
      <c r="B21" s="1">
        <v>44435.157638888893</v>
      </c>
      <c r="C21">
        <v>5</v>
      </c>
      <c r="D21" s="1">
        <f>_xlfn.XLOOKUP(A21, ticket!E:E, ticket!B:B)</f>
        <v>44434.40902777778</v>
      </c>
    </row>
    <row r="22" spans="1:4" x14ac:dyDescent="0.25">
      <c r="A22" t="s">
        <v>49</v>
      </c>
      <c r="B22" s="1">
        <v>44432.097916666673</v>
      </c>
      <c r="C22">
        <v>5</v>
      </c>
      <c r="D22" s="1">
        <f>_xlfn.XLOOKUP(A22, ticket!E:E, ticket!B:B)</f>
        <v>44431.820138888892</v>
      </c>
    </row>
    <row r="23" spans="1:4" x14ac:dyDescent="0.25">
      <c r="A23" t="s">
        <v>51</v>
      </c>
      <c r="B23" s="1">
        <v>44429.73541666667</v>
      </c>
      <c r="C23">
        <v>2</v>
      </c>
      <c r="D23" s="1">
        <f>_xlfn.XLOOKUP(A23, ticket!E:E, ticket!B:B)</f>
        <v>44429.022916666669</v>
      </c>
    </row>
    <row r="24" spans="1:4" x14ac:dyDescent="0.25">
      <c r="A24" t="s">
        <v>53</v>
      </c>
      <c r="B24" s="1">
        <v>44428.426388888889</v>
      </c>
      <c r="C24">
        <v>1</v>
      </c>
      <c r="D24" s="1">
        <f>_xlfn.XLOOKUP(A24, ticket!E:E, ticket!B:B)</f>
        <v>44428.17291666667</v>
      </c>
    </row>
    <row r="25" spans="1:4" x14ac:dyDescent="0.25">
      <c r="A25" t="s">
        <v>55</v>
      </c>
      <c r="B25" s="1">
        <v>44435.538888888892</v>
      </c>
      <c r="C25">
        <v>2</v>
      </c>
      <c r="D25" s="1">
        <f>_xlfn.XLOOKUP(A25, ticket!E:E, ticket!B:B)</f>
        <v>44435.363194444442</v>
      </c>
    </row>
    <row r="26" spans="1:4" x14ac:dyDescent="0.25">
      <c r="A26" t="s">
        <v>57</v>
      </c>
      <c r="B26" s="1">
        <v>44429.274305555547</v>
      </c>
      <c r="C26">
        <v>4</v>
      </c>
      <c r="D26" s="1">
        <f>_xlfn.XLOOKUP(A26, ticket!E:E, ticket!B:B)</f>
        <v>44428.779166666667</v>
      </c>
    </row>
    <row r="27" spans="1:4" x14ac:dyDescent="0.25">
      <c r="A27" t="s">
        <v>59</v>
      </c>
      <c r="B27" s="1">
        <v>44431.134722222218</v>
      </c>
      <c r="C27">
        <v>2</v>
      </c>
      <c r="D27" s="1">
        <f>_xlfn.XLOOKUP(A27, ticket!E:E, ticket!B:B)</f>
        <v>44430.788194444453</v>
      </c>
    </row>
    <row r="28" spans="1:4" x14ac:dyDescent="0.25">
      <c r="A28" t="s">
        <v>61</v>
      </c>
      <c r="B28" s="1">
        <v>44434.377083333333</v>
      </c>
      <c r="C28">
        <v>5</v>
      </c>
      <c r="D28" s="1">
        <f>_xlfn.XLOOKUP(A28, ticket!E:E, ticket!B:B)</f>
        <v>44433.589583333327</v>
      </c>
    </row>
    <row r="29" spans="1:4" x14ac:dyDescent="0.25">
      <c r="A29" t="s">
        <v>63</v>
      </c>
      <c r="B29" s="1">
        <v>44436.351388888892</v>
      </c>
      <c r="C29">
        <v>4</v>
      </c>
      <c r="D29" s="1">
        <f>_xlfn.XLOOKUP(A29, ticket!E:E, ticket!B:B)</f>
        <v>44435.532638888893</v>
      </c>
    </row>
    <row r="30" spans="1:4" x14ac:dyDescent="0.25">
      <c r="A30" t="s">
        <v>65</v>
      </c>
      <c r="B30" s="1">
        <v>44433.462500000001</v>
      </c>
      <c r="C30">
        <v>3</v>
      </c>
      <c r="D30" s="1">
        <f>_xlfn.XLOOKUP(A30, ticket!E:E, ticket!B:B)</f>
        <v>44433.114583333343</v>
      </c>
    </row>
    <row r="31" spans="1:4" x14ac:dyDescent="0.25">
      <c r="A31" t="s">
        <v>67</v>
      </c>
      <c r="B31" s="1">
        <v>44429.198611111111</v>
      </c>
      <c r="C31">
        <v>1</v>
      </c>
      <c r="D31" s="1">
        <f>_xlfn.XLOOKUP(A31, ticket!E:E, ticket!B:B)</f>
        <v>44428.923611111109</v>
      </c>
    </row>
    <row r="32" spans="1:4" x14ac:dyDescent="0.25">
      <c r="A32" t="s">
        <v>69</v>
      </c>
      <c r="B32" s="1">
        <v>44431.546527777777</v>
      </c>
      <c r="C32">
        <v>4</v>
      </c>
      <c r="D32" s="1">
        <f>_xlfn.XLOOKUP(A32, ticket!E:E, ticket!B:B)</f>
        <v>44431.211111111108</v>
      </c>
    </row>
    <row r="33" spans="1:4" x14ac:dyDescent="0.25">
      <c r="A33" t="s">
        <v>71</v>
      </c>
      <c r="B33" s="1">
        <v>44429.114583333343</v>
      </c>
      <c r="C33">
        <v>5</v>
      </c>
      <c r="D33" s="1">
        <f>_xlfn.XLOOKUP(A33, ticket!E:E, ticket!B:B)</f>
        <v>44429.022916666669</v>
      </c>
    </row>
    <row r="34" spans="1:4" x14ac:dyDescent="0.25">
      <c r="A34" t="s">
        <v>73</v>
      </c>
      <c r="B34" s="1">
        <v>44435.371527777781</v>
      </c>
      <c r="C34">
        <v>4</v>
      </c>
      <c r="D34" s="1">
        <f>_xlfn.XLOOKUP(A34, ticket!E:E, ticket!B:B)</f>
        <v>44435.068749999999</v>
      </c>
    </row>
    <row r="35" spans="1:4" x14ac:dyDescent="0.25">
      <c r="A35" t="s">
        <v>75</v>
      </c>
      <c r="B35" s="1">
        <v>44430.294444444437</v>
      </c>
      <c r="C35">
        <v>5</v>
      </c>
      <c r="D35" s="1">
        <f>_xlfn.XLOOKUP(A35, ticket!E:E, ticket!B:B)</f>
        <v>44429.88958333333</v>
      </c>
    </row>
    <row r="36" spans="1:4" x14ac:dyDescent="0.25">
      <c r="A36" t="s">
        <v>77</v>
      </c>
      <c r="B36" s="1">
        <v>44434.347916666673</v>
      </c>
      <c r="C36">
        <v>4</v>
      </c>
      <c r="D36" s="1">
        <f>_xlfn.XLOOKUP(A36, ticket!E:E, ticket!B:B)</f>
        <v>44434.228472222218</v>
      </c>
    </row>
    <row r="37" spans="1:4" x14ac:dyDescent="0.25">
      <c r="A37" t="s">
        <v>79</v>
      </c>
      <c r="B37" s="1">
        <v>44428.907638888893</v>
      </c>
      <c r="C37">
        <v>4</v>
      </c>
      <c r="D37" s="1">
        <f>_xlfn.XLOOKUP(A37, ticket!E:E, ticket!B:B)</f>
        <v>44428.085416666669</v>
      </c>
    </row>
    <row r="38" spans="1:4" x14ac:dyDescent="0.25">
      <c r="A38" t="s">
        <v>81</v>
      </c>
      <c r="B38" s="1">
        <v>44428.121527777781</v>
      </c>
      <c r="C38">
        <v>1</v>
      </c>
      <c r="D38" s="1">
        <f>_xlfn.XLOOKUP(A38, ticket!E:E, ticket!B:B)</f>
        <v>44427.54583333333</v>
      </c>
    </row>
    <row r="39" spans="1:4" x14ac:dyDescent="0.25">
      <c r="A39" t="s">
        <v>83</v>
      </c>
      <c r="B39" s="1">
        <v>44432.368750000001</v>
      </c>
      <c r="C39">
        <v>1</v>
      </c>
      <c r="D39" s="1">
        <f>_xlfn.XLOOKUP(A39, ticket!E:E, ticket!B:B)</f>
        <v>44431.75277777778</v>
      </c>
    </row>
    <row r="40" spans="1:4" x14ac:dyDescent="0.25">
      <c r="A40" t="s">
        <v>85</v>
      </c>
      <c r="B40" s="1">
        <v>44432.57708333333</v>
      </c>
      <c r="C40">
        <v>4</v>
      </c>
      <c r="D40" s="1">
        <f>_xlfn.XLOOKUP(A40, ticket!E:E, ticket!B:B)</f>
        <v>44432.354166666657</v>
      </c>
    </row>
    <row r="41" spans="1:4" x14ac:dyDescent="0.25">
      <c r="A41" t="s">
        <v>87</v>
      </c>
      <c r="B41" s="1">
        <v>44436.638888888891</v>
      </c>
      <c r="C41">
        <v>1</v>
      </c>
      <c r="D41" s="1">
        <f>_xlfn.XLOOKUP(A41, ticket!E:E, ticket!B:B)</f>
        <v>44435.716666666667</v>
      </c>
    </row>
    <row r="42" spans="1:4" x14ac:dyDescent="0.25">
      <c r="A42" t="s">
        <v>89</v>
      </c>
      <c r="B42" s="1">
        <v>44437.280555555553</v>
      </c>
      <c r="C42">
        <v>4</v>
      </c>
      <c r="D42" s="1">
        <f>_xlfn.XLOOKUP(A42, ticket!E:E, ticket!B:B)</f>
        <v>44436.365972222222</v>
      </c>
    </row>
    <row r="43" spans="1:4" x14ac:dyDescent="0.25">
      <c r="A43" t="s">
        <v>91</v>
      </c>
      <c r="B43" s="1">
        <v>44434.397916666669</v>
      </c>
      <c r="C43">
        <v>4</v>
      </c>
      <c r="D43" s="1">
        <f>_xlfn.XLOOKUP(A43, ticket!E:E, ticket!B:B)</f>
        <v>44433.469444444447</v>
      </c>
    </row>
    <row r="44" spans="1:4" x14ac:dyDescent="0.25">
      <c r="A44" t="s">
        <v>93</v>
      </c>
      <c r="B44" s="1">
        <v>44434.167361111111</v>
      </c>
      <c r="C44">
        <v>4</v>
      </c>
      <c r="D44" s="1">
        <f>_xlfn.XLOOKUP(A44, ticket!E:E, ticket!B:B)</f>
        <v>44433.268750000003</v>
      </c>
    </row>
    <row r="45" spans="1:4" x14ac:dyDescent="0.25">
      <c r="A45" t="s">
        <v>95</v>
      </c>
      <c r="B45" s="1">
        <v>44429.868055555547</v>
      </c>
      <c r="C45">
        <v>1</v>
      </c>
      <c r="D45" s="1">
        <f>_xlfn.XLOOKUP(A45, ticket!E:E, ticket!B:B)</f>
        <v>44429.620138888888</v>
      </c>
    </row>
    <row r="46" spans="1:4" x14ac:dyDescent="0.25">
      <c r="A46" t="s">
        <v>97</v>
      </c>
      <c r="B46" s="1">
        <v>44435.274305555547</v>
      </c>
      <c r="C46">
        <v>3</v>
      </c>
      <c r="D46" s="1">
        <f>_xlfn.XLOOKUP(A46, ticket!E:E, ticket!B:B)</f>
        <v>44434.415972222218</v>
      </c>
    </row>
    <row r="47" spans="1:4" x14ac:dyDescent="0.25">
      <c r="A47" t="s">
        <v>99</v>
      </c>
      <c r="B47" s="1">
        <v>44434.94027777778</v>
      </c>
      <c r="C47">
        <v>5</v>
      </c>
      <c r="D47" s="1">
        <f>_xlfn.XLOOKUP(A47, ticket!E:E, ticket!B:B)</f>
        <v>44434.14166666667</v>
      </c>
    </row>
    <row r="48" spans="1:4" x14ac:dyDescent="0.25">
      <c r="A48" t="s">
        <v>101</v>
      </c>
      <c r="B48" s="1">
        <v>44436.876388888893</v>
      </c>
      <c r="C48">
        <v>1</v>
      </c>
      <c r="D48" s="1">
        <f>_xlfn.XLOOKUP(A48, ticket!E:E, ticket!B:B)</f>
        <v>44436.113888888889</v>
      </c>
    </row>
    <row r="49" spans="1:4" x14ac:dyDescent="0.25">
      <c r="A49" t="s">
        <v>103</v>
      </c>
      <c r="B49" s="1">
        <v>44433.064583333333</v>
      </c>
      <c r="C49">
        <v>2</v>
      </c>
      <c r="D49" s="1">
        <f>_xlfn.XLOOKUP(A49, ticket!E:E, ticket!B:B)</f>
        <v>44432.183333333327</v>
      </c>
    </row>
    <row r="50" spans="1:4" x14ac:dyDescent="0.25">
      <c r="A50" t="s">
        <v>105</v>
      </c>
      <c r="B50" s="1">
        <v>44432.28125</v>
      </c>
      <c r="C50">
        <v>1</v>
      </c>
      <c r="D50" s="1">
        <f>_xlfn.XLOOKUP(A50, ticket!E:E, ticket!B:B)</f>
        <v>44431.550694444442</v>
      </c>
    </row>
    <row r="51" spans="1:4" x14ac:dyDescent="0.25">
      <c r="A51" t="s">
        <v>107</v>
      </c>
      <c r="B51" s="1">
        <v>44431.038194444453</v>
      </c>
      <c r="C51">
        <v>4</v>
      </c>
      <c r="D51" s="1">
        <f>_xlfn.XLOOKUP(A51, ticket!E:E, ticket!B:B)</f>
        <v>44430.287499999999</v>
      </c>
    </row>
    <row r="52" spans="1:4" x14ac:dyDescent="0.25">
      <c r="A52" t="s">
        <v>109</v>
      </c>
      <c r="B52" s="1">
        <v>44434.450694444437</v>
      </c>
      <c r="C52">
        <v>5</v>
      </c>
      <c r="D52" s="1">
        <f>_xlfn.XLOOKUP(A52, ticket!E:E, ticket!B:B)</f>
        <v>44433.973611111112</v>
      </c>
    </row>
    <row r="53" spans="1:4" x14ac:dyDescent="0.25">
      <c r="A53" t="s">
        <v>111</v>
      </c>
      <c r="B53" s="1">
        <v>44433.697222222218</v>
      </c>
      <c r="C53">
        <v>3</v>
      </c>
      <c r="D53" s="1">
        <f>_xlfn.XLOOKUP(A53, ticket!E:E, ticket!B:B)</f>
        <v>44433.133333333331</v>
      </c>
    </row>
    <row r="54" spans="1:4" x14ac:dyDescent="0.25">
      <c r="A54" t="s">
        <v>113</v>
      </c>
      <c r="B54" s="1">
        <v>44435.448611111111</v>
      </c>
      <c r="C54">
        <v>3</v>
      </c>
      <c r="D54" s="1">
        <f>_xlfn.XLOOKUP(A54, ticket!E:E, ticket!B:B)</f>
        <v>44435.106944444437</v>
      </c>
    </row>
    <row r="55" spans="1:4" x14ac:dyDescent="0.25">
      <c r="A55" t="s">
        <v>115</v>
      </c>
      <c r="B55" s="1">
        <v>44429.979166666657</v>
      </c>
      <c r="C55">
        <v>1</v>
      </c>
      <c r="D55" s="1">
        <f>_xlfn.XLOOKUP(A55, ticket!E:E, ticket!B:B)</f>
        <v>44429.473611111112</v>
      </c>
    </row>
    <row r="56" spans="1:4" x14ac:dyDescent="0.25">
      <c r="A56" t="s">
        <v>117</v>
      </c>
      <c r="B56" s="1">
        <v>44428.978472222218</v>
      </c>
      <c r="C56">
        <v>3</v>
      </c>
      <c r="D56" s="1">
        <f>_xlfn.XLOOKUP(A56, ticket!E:E, ticket!B:B)</f>
        <v>44428.632638888892</v>
      </c>
    </row>
    <row r="57" spans="1:4" x14ac:dyDescent="0.25">
      <c r="A57" t="s">
        <v>119</v>
      </c>
      <c r="B57" s="1">
        <v>44429.954861111109</v>
      </c>
      <c r="C57">
        <v>1</v>
      </c>
      <c r="D57" s="1">
        <f>_xlfn.XLOOKUP(A57, ticket!E:E, ticket!B:B)</f>
        <v>44429.322222222218</v>
      </c>
    </row>
    <row r="58" spans="1:4" x14ac:dyDescent="0.25">
      <c r="A58" t="s">
        <v>121</v>
      </c>
      <c r="B58" s="1">
        <v>44430.870833333327</v>
      </c>
      <c r="C58">
        <v>3</v>
      </c>
      <c r="D58" s="1">
        <f>_xlfn.XLOOKUP(A58, ticket!E:E, ticket!B:B)</f>
        <v>44430.707638888889</v>
      </c>
    </row>
    <row r="59" spans="1:4" x14ac:dyDescent="0.25">
      <c r="A59" t="s">
        <v>123</v>
      </c>
      <c r="B59" s="1">
        <v>44431.443055555559</v>
      </c>
      <c r="C59">
        <v>1</v>
      </c>
      <c r="D59" s="1">
        <f>_xlfn.XLOOKUP(A59, ticket!E:E, ticket!B:B)</f>
        <v>44430.486805555563</v>
      </c>
    </row>
    <row r="60" spans="1:4" x14ac:dyDescent="0.25">
      <c r="A60" t="s">
        <v>125</v>
      </c>
      <c r="B60" s="1">
        <v>44430.833333333343</v>
      </c>
      <c r="C60">
        <v>5</v>
      </c>
      <c r="D60" s="1">
        <f>_xlfn.XLOOKUP(A60, ticket!E:E, ticket!B:B)</f>
        <v>44430.083333333343</v>
      </c>
    </row>
    <row r="61" spans="1:4" x14ac:dyDescent="0.25">
      <c r="A61" t="s">
        <v>127</v>
      </c>
      <c r="B61" s="1">
        <v>44430.35</v>
      </c>
      <c r="C61">
        <v>3</v>
      </c>
      <c r="D61" s="1">
        <f>_xlfn.XLOOKUP(A61, ticket!E:E, ticket!B:B)</f>
        <v>44429.613194444442</v>
      </c>
    </row>
    <row r="62" spans="1:4" x14ac:dyDescent="0.25">
      <c r="A62" t="s">
        <v>129</v>
      </c>
      <c r="B62" s="1">
        <v>44431.243055555547</v>
      </c>
      <c r="C62">
        <v>4</v>
      </c>
      <c r="D62" s="1">
        <f>_xlfn.XLOOKUP(A62, ticket!E:E, ticket!B:B)</f>
        <v>44430.98541666667</v>
      </c>
    </row>
    <row r="63" spans="1:4" x14ac:dyDescent="0.25">
      <c r="A63" t="s">
        <v>131</v>
      </c>
      <c r="B63" s="1">
        <v>44436.036111111112</v>
      </c>
      <c r="C63">
        <v>1</v>
      </c>
      <c r="D63" s="1">
        <f>_xlfn.XLOOKUP(A63, ticket!E:E, ticket!B:B)</f>
        <v>44435.134722222218</v>
      </c>
    </row>
    <row r="64" spans="1:4" x14ac:dyDescent="0.25">
      <c r="A64" t="s">
        <v>133</v>
      </c>
      <c r="B64" s="1">
        <v>44436.832638888889</v>
      </c>
      <c r="C64">
        <v>3</v>
      </c>
      <c r="D64" s="1">
        <f>_xlfn.XLOOKUP(A64, ticket!E:E, ticket!B:B)</f>
        <v>44436.359027777777</v>
      </c>
    </row>
    <row r="65" spans="1:4" x14ac:dyDescent="0.25">
      <c r="A65" t="s">
        <v>135</v>
      </c>
      <c r="B65" s="1">
        <v>44433.288194444453</v>
      </c>
      <c r="C65">
        <v>5</v>
      </c>
      <c r="D65" s="1">
        <f>_xlfn.XLOOKUP(A65, ticket!E:E, ticket!B:B)</f>
        <v>44432.447916666657</v>
      </c>
    </row>
    <row r="66" spans="1:4" x14ac:dyDescent="0.25">
      <c r="A66" t="s">
        <v>137</v>
      </c>
      <c r="B66" s="1">
        <v>44435.000694444447</v>
      </c>
      <c r="C66">
        <v>5</v>
      </c>
      <c r="D66" s="1">
        <f>_xlfn.XLOOKUP(A66, ticket!E:E, ticket!B:B)</f>
        <v>44434.438888888893</v>
      </c>
    </row>
    <row r="67" spans="1:4" x14ac:dyDescent="0.25">
      <c r="A67" t="s">
        <v>139</v>
      </c>
      <c r="B67" s="1">
        <v>44432.18472222222</v>
      </c>
      <c r="C67">
        <v>2</v>
      </c>
      <c r="D67" s="1">
        <f>_xlfn.XLOOKUP(A67, ticket!E:E, ticket!B:B)</f>
        <v>44432.036805555559</v>
      </c>
    </row>
    <row r="68" spans="1:4" x14ac:dyDescent="0.25">
      <c r="A68" t="s">
        <v>141</v>
      </c>
      <c r="B68" s="1">
        <v>44434.170138888891</v>
      </c>
      <c r="C68">
        <v>5</v>
      </c>
      <c r="D68" s="1">
        <f>_xlfn.XLOOKUP(A68, ticket!E:E, ticket!B:B)</f>
        <v>44433.760416666657</v>
      </c>
    </row>
    <row r="69" spans="1:4" x14ac:dyDescent="0.25">
      <c r="A69" t="s">
        <v>143</v>
      </c>
      <c r="B69" s="1">
        <v>44434.884722222218</v>
      </c>
      <c r="C69">
        <v>5</v>
      </c>
      <c r="D69" s="1">
        <f>_xlfn.XLOOKUP(A69, ticket!E:E, ticket!B:B)</f>
        <v>44433.897222222222</v>
      </c>
    </row>
    <row r="70" spans="1:4" x14ac:dyDescent="0.25">
      <c r="A70" t="s">
        <v>145</v>
      </c>
      <c r="B70" s="1">
        <v>44433.268750000003</v>
      </c>
      <c r="C70">
        <v>5</v>
      </c>
      <c r="D70" s="1">
        <f>_xlfn.XLOOKUP(A70, ticket!E:E, ticket!B:B)</f>
        <v>44433.02847222222</v>
      </c>
    </row>
    <row r="71" spans="1:4" x14ac:dyDescent="0.25">
      <c r="A71" t="s">
        <v>147</v>
      </c>
      <c r="B71" s="1">
        <v>44431.199305555558</v>
      </c>
      <c r="C71">
        <v>2</v>
      </c>
      <c r="D71" s="1">
        <f>_xlfn.XLOOKUP(A71, ticket!E:E, ticket!B:B)</f>
        <v>44431.095138888893</v>
      </c>
    </row>
    <row r="72" spans="1:4" x14ac:dyDescent="0.25">
      <c r="A72" t="s">
        <v>149</v>
      </c>
      <c r="B72" s="1">
        <v>44431.993055555547</v>
      </c>
      <c r="C72">
        <v>3</v>
      </c>
      <c r="D72" s="1">
        <f>_xlfn.XLOOKUP(A72, ticket!E:E, ticket!B:B)</f>
        <v>44431.559027777781</v>
      </c>
    </row>
    <row r="73" spans="1:4" x14ac:dyDescent="0.25">
      <c r="A73" t="s">
        <v>151</v>
      </c>
      <c r="B73" s="1">
        <v>44434.771527777782</v>
      </c>
      <c r="C73">
        <v>5</v>
      </c>
      <c r="D73" s="1">
        <f>_xlfn.XLOOKUP(A73, ticket!E:E, ticket!B:B)</f>
        <v>44434.536805555559</v>
      </c>
    </row>
    <row r="74" spans="1:4" x14ac:dyDescent="0.25">
      <c r="A74" t="s">
        <v>153</v>
      </c>
      <c r="B74" s="1">
        <v>44434.788888888892</v>
      </c>
      <c r="C74">
        <v>1</v>
      </c>
      <c r="D74" s="1">
        <f>_xlfn.XLOOKUP(A74, ticket!E:E, ticket!B:B)</f>
        <v>44434.261111111111</v>
      </c>
    </row>
    <row r="75" spans="1:4" x14ac:dyDescent="0.25">
      <c r="A75" t="s">
        <v>155</v>
      </c>
      <c r="B75" s="1">
        <v>44435.981944444437</v>
      </c>
      <c r="C75">
        <v>1</v>
      </c>
      <c r="D75" s="1">
        <f>_xlfn.XLOOKUP(A75, ticket!E:E, ticket!B:B)</f>
        <v>44435.787499999999</v>
      </c>
    </row>
    <row r="76" spans="1:4" x14ac:dyDescent="0.25">
      <c r="A76" t="s">
        <v>157</v>
      </c>
      <c r="B76" s="1">
        <v>44435.05972222222</v>
      </c>
      <c r="C76">
        <v>3</v>
      </c>
      <c r="D76" s="1">
        <f>_xlfn.XLOOKUP(A76, ticket!E:E, ticket!B:B)</f>
        <v>44434.781944444447</v>
      </c>
    </row>
    <row r="77" spans="1:4" x14ac:dyDescent="0.25">
      <c r="A77" t="s">
        <v>159</v>
      </c>
      <c r="B77" s="1">
        <v>44435.080555555563</v>
      </c>
      <c r="C77">
        <v>3</v>
      </c>
      <c r="D77" s="1">
        <f>_xlfn.XLOOKUP(A77, ticket!E:E, ticket!B:B)</f>
        <v>44434.566666666673</v>
      </c>
    </row>
    <row r="78" spans="1:4" x14ac:dyDescent="0.25">
      <c r="A78" t="s">
        <v>161</v>
      </c>
      <c r="B78" s="1">
        <v>44435.520833333343</v>
      </c>
      <c r="C78">
        <v>4</v>
      </c>
      <c r="D78" s="1">
        <f>_xlfn.XLOOKUP(A78, ticket!E:E, ticket!B:B)</f>
        <v>44435.384027777778</v>
      </c>
    </row>
    <row r="79" spans="1:4" x14ac:dyDescent="0.25">
      <c r="A79" t="s">
        <v>163</v>
      </c>
      <c r="B79" s="1">
        <v>44436.496527777781</v>
      </c>
      <c r="C79">
        <v>1</v>
      </c>
      <c r="D79" s="1">
        <f>_xlfn.XLOOKUP(A79, ticket!E:E, ticket!B:B)</f>
        <v>44435.560416666667</v>
      </c>
    </row>
    <row r="80" spans="1:4" x14ac:dyDescent="0.25">
      <c r="A80" t="s">
        <v>165</v>
      </c>
      <c r="B80" s="1">
        <v>44435.854166666657</v>
      </c>
      <c r="C80">
        <v>2</v>
      </c>
      <c r="D80" s="1">
        <f>_xlfn.XLOOKUP(A80, ticket!E:E, ticket!B:B)</f>
        <v>44435.375</v>
      </c>
    </row>
    <row r="81" spans="1:4" x14ac:dyDescent="0.25">
      <c r="A81" t="s">
        <v>167</v>
      </c>
      <c r="B81" s="1">
        <v>44437.213194444441</v>
      </c>
      <c r="C81">
        <v>1</v>
      </c>
      <c r="D81" s="1">
        <f>_xlfn.XLOOKUP(A81, ticket!E:E, ticket!B:B)</f>
        <v>44436.48541666667</v>
      </c>
    </row>
    <row r="82" spans="1:4" x14ac:dyDescent="0.25">
      <c r="A82" t="s">
        <v>169</v>
      </c>
      <c r="B82" s="1">
        <v>44436.212500000001</v>
      </c>
      <c r="C82">
        <v>5</v>
      </c>
      <c r="D82" s="1">
        <f>_xlfn.XLOOKUP(A82, ticket!E:E, ticket!B:B)</f>
        <v>44436.133333333331</v>
      </c>
    </row>
    <row r="83" spans="1:4" x14ac:dyDescent="0.25">
      <c r="A83" t="s">
        <v>171</v>
      </c>
      <c r="B83" s="1">
        <v>44432.603472222218</v>
      </c>
      <c r="C83">
        <v>4</v>
      </c>
      <c r="D83" s="1">
        <f>_xlfn.XLOOKUP(A83, ticket!E:E, ticket!B:B)</f>
        <v>44431.913194444453</v>
      </c>
    </row>
    <row r="84" spans="1:4" x14ac:dyDescent="0.25">
      <c r="A84" t="s">
        <v>173</v>
      </c>
      <c r="B84" s="1">
        <v>44432.731944444437</v>
      </c>
      <c r="C84">
        <v>2</v>
      </c>
      <c r="D84" s="1">
        <f>_xlfn.XLOOKUP(A84, ticket!E:E, ticket!B:B)</f>
        <v>44431.847916666673</v>
      </c>
    </row>
    <row r="85" spans="1:4" x14ac:dyDescent="0.25">
      <c r="A85" t="s">
        <v>175</v>
      </c>
      <c r="B85" s="1">
        <v>44435.705555555563</v>
      </c>
      <c r="C85">
        <v>1</v>
      </c>
      <c r="D85" s="1">
        <f>_xlfn.XLOOKUP(A85, ticket!E:E, ticket!B:B)</f>
        <v>44434.902777777781</v>
      </c>
    </row>
    <row r="86" spans="1:4" x14ac:dyDescent="0.25">
      <c r="A86" t="s">
        <v>177</v>
      </c>
      <c r="B86" s="1">
        <v>44428.565972222219</v>
      </c>
      <c r="C86">
        <v>1</v>
      </c>
      <c r="D86" s="1">
        <f>_xlfn.XLOOKUP(A86, ticket!E:E, ticket!B:B)</f>
        <v>44428.23333333333</v>
      </c>
    </row>
    <row r="87" spans="1:4" x14ac:dyDescent="0.25">
      <c r="A87" t="s">
        <v>179</v>
      </c>
      <c r="B87" s="1">
        <v>44436.644444444442</v>
      </c>
      <c r="C87">
        <v>3</v>
      </c>
      <c r="D87" s="1">
        <f>_xlfn.XLOOKUP(A87, ticket!E:E, ticket!B:B)</f>
        <v>44435.969444444447</v>
      </c>
    </row>
    <row r="88" spans="1:4" x14ac:dyDescent="0.25">
      <c r="A88" t="s">
        <v>181</v>
      </c>
      <c r="B88" s="1">
        <v>44434.181250000001</v>
      </c>
      <c r="C88">
        <v>2</v>
      </c>
      <c r="D88" s="1">
        <f>_xlfn.XLOOKUP(A88, ticket!E:E, ticket!B:B)</f>
        <v>44433.888888888891</v>
      </c>
    </row>
    <row r="89" spans="1:4" x14ac:dyDescent="0.25">
      <c r="A89" t="s">
        <v>183</v>
      </c>
      <c r="B89" s="1">
        <v>44435.55972222222</v>
      </c>
      <c r="C89">
        <v>3</v>
      </c>
      <c r="D89" s="1">
        <f>_xlfn.XLOOKUP(A89, ticket!E:E, ticket!B:B)</f>
        <v>44435.387499999997</v>
      </c>
    </row>
    <row r="90" spans="1:4" x14ac:dyDescent="0.25">
      <c r="A90" t="s">
        <v>185</v>
      </c>
      <c r="B90" s="1">
        <v>44431.551388888889</v>
      </c>
      <c r="C90">
        <v>3</v>
      </c>
      <c r="D90" s="1">
        <f>_xlfn.XLOOKUP(A90, ticket!E:E, ticket!B:B)</f>
        <v>44430.850694444453</v>
      </c>
    </row>
    <row r="91" spans="1:4" x14ac:dyDescent="0.25">
      <c r="A91" t="s">
        <v>187</v>
      </c>
      <c r="B91" s="1">
        <v>44436.715277777781</v>
      </c>
      <c r="C91">
        <v>4</v>
      </c>
      <c r="D91" s="1">
        <f>_xlfn.XLOOKUP(A91, ticket!E:E, ticket!B:B)</f>
        <v>44436.219444444447</v>
      </c>
    </row>
    <row r="92" spans="1:4" x14ac:dyDescent="0.25">
      <c r="A92" t="s">
        <v>189</v>
      </c>
      <c r="B92" s="1">
        <v>44434.731249999997</v>
      </c>
      <c r="C92">
        <v>3</v>
      </c>
      <c r="D92" s="1">
        <f>_xlfn.XLOOKUP(A92, ticket!E:E, ticket!B:B)</f>
        <v>44433.868055555547</v>
      </c>
    </row>
    <row r="93" spans="1:4" x14ac:dyDescent="0.25">
      <c r="A93" t="s">
        <v>191</v>
      </c>
      <c r="B93" s="1">
        <v>44429.68472222222</v>
      </c>
      <c r="C93">
        <v>3</v>
      </c>
      <c r="D93" s="1">
        <f>_xlfn.XLOOKUP(A93, ticket!E:E, ticket!B:B)</f>
        <v>44429.043055555558</v>
      </c>
    </row>
    <row r="94" spans="1:4" x14ac:dyDescent="0.25">
      <c r="A94" t="s">
        <v>193</v>
      </c>
      <c r="B94" s="1">
        <v>44428.445138888892</v>
      </c>
      <c r="C94">
        <v>2</v>
      </c>
      <c r="D94" s="1">
        <f>_xlfn.XLOOKUP(A94, ticket!E:E, ticket!B:B)</f>
        <v>44427.993055555547</v>
      </c>
    </row>
    <row r="95" spans="1:4" x14ac:dyDescent="0.25">
      <c r="A95" t="s">
        <v>195</v>
      </c>
      <c r="B95" s="1">
        <v>44434.602083333331</v>
      </c>
      <c r="C95">
        <v>5</v>
      </c>
      <c r="D95" s="1">
        <f>_xlfn.XLOOKUP(A95, ticket!E:E, ticket!B:B)</f>
        <v>44434.301388888889</v>
      </c>
    </row>
    <row r="96" spans="1:4" x14ac:dyDescent="0.25">
      <c r="A96" t="s">
        <v>197</v>
      </c>
      <c r="B96" s="1">
        <v>44432.146527777782</v>
      </c>
      <c r="C96">
        <v>3</v>
      </c>
      <c r="D96" s="1">
        <f>_xlfn.XLOOKUP(A96, ticket!E:E, ticket!B:B)</f>
        <v>44431.675000000003</v>
      </c>
    </row>
    <row r="97" spans="1:4" x14ac:dyDescent="0.25">
      <c r="A97" t="s">
        <v>199</v>
      </c>
      <c r="B97" s="1">
        <v>44427.777777777781</v>
      </c>
      <c r="C97">
        <v>3</v>
      </c>
      <c r="D97" s="1">
        <f>_xlfn.XLOOKUP(A97, ticket!E:E, ticket!B:B)</f>
        <v>44427.511805555558</v>
      </c>
    </row>
    <row r="98" spans="1:4" x14ac:dyDescent="0.25">
      <c r="A98" t="s">
        <v>201</v>
      </c>
      <c r="B98" s="1">
        <v>44431.635416666657</v>
      </c>
      <c r="C98">
        <v>5</v>
      </c>
      <c r="D98" s="1">
        <f>_xlfn.XLOOKUP(A98, ticket!E:E, ticket!B:B)</f>
        <v>44431.533333333333</v>
      </c>
    </row>
    <row r="99" spans="1:4" x14ac:dyDescent="0.25">
      <c r="A99" t="s">
        <v>203</v>
      </c>
      <c r="B99" s="1">
        <v>44432.848611111112</v>
      </c>
      <c r="C99">
        <v>1</v>
      </c>
      <c r="D99" s="1">
        <f>_xlfn.XLOOKUP(A99, ticket!E:E, ticket!B:B)</f>
        <v>44432.618055555547</v>
      </c>
    </row>
    <row r="100" spans="1:4" x14ac:dyDescent="0.25">
      <c r="A100" t="s">
        <v>205</v>
      </c>
      <c r="B100" s="1">
        <v>44435.332638888889</v>
      </c>
      <c r="C100">
        <v>2</v>
      </c>
      <c r="D100" s="1">
        <f>_xlfn.XLOOKUP(A100, ticket!E:E, ticket!B:B)</f>
        <v>44434.97152777778</v>
      </c>
    </row>
    <row r="101" spans="1:4" x14ac:dyDescent="0.25">
      <c r="A101" t="s">
        <v>207</v>
      </c>
      <c r="B101" s="1">
        <v>44435.6875</v>
      </c>
      <c r="C101">
        <v>5</v>
      </c>
      <c r="D101" s="1">
        <f>_xlfn.XLOOKUP(A101, ticket!E:E, ticket!B:B)</f>
        <v>44434.915277777778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CE64-62DB-4C94-8A6E-FD8910267B8E}">
  <dimension ref="A3:C8"/>
  <sheetViews>
    <sheetView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7.7109375" bestFit="1" customWidth="1"/>
  </cols>
  <sheetData>
    <row r="3" spans="1:3" x14ac:dyDescent="0.25">
      <c r="A3" s="2" t="s">
        <v>213</v>
      </c>
      <c r="B3" t="s">
        <v>216</v>
      </c>
      <c r="C3" t="s">
        <v>217</v>
      </c>
    </row>
    <row r="4" spans="1:3" x14ac:dyDescent="0.25">
      <c r="A4" s="3" t="s">
        <v>17</v>
      </c>
      <c r="B4" s="4">
        <v>29</v>
      </c>
      <c r="C4" s="4">
        <v>1</v>
      </c>
    </row>
    <row r="5" spans="1:3" x14ac:dyDescent="0.25">
      <c r="A5" s="3" t="s">
        <v>24</v>
      </c>
      <c r="B5" s="4">
        <v>28</v>
      </c>
      <c r="C5" s="4">
        <v>2</v>
      </c>
    </row>
    <row r="6" spans="1:3" x14ac:dyDescent="0.25">
      <c r="A6" s="3" t="s">
        <v>6</v>
      </c>
      <c r="B6" s="4">
        <v>28</v>
      </c>
      <c r="C6" s="4">
        <v>4</v>
      </c>
    </row>
    <row r="7" spans="1:3" x14ac:dyDescent="0.25">
      <c r="A7" s="3" t="s">
        <v>214</v>
      </c>
      <c r="B7" s="4"/>
      <c r="C7" s="4"/>
    </row>
    <row r="8" spans="1:3" x14ac:dyDescent="0.25">
      <c r="A8" s="3" t="s">
        <v>215</v>
      </c>
      <c r="B8" s="4">
        <v>85</v>
      </c>
      <c r="C8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outlet-wise_count(task-2)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TEJESH VARMA GANDRAJU</cp:lastModifiedBy>
  <dcterms:created xsi:type="dcterms:W3CDTF">2025-12-02T16:49:55Z</dcterms:created>
  <dcterms:modified xsi:type="dcterms:W3CDTF">2025-12-02T17:41:32Z</dcterms:modified>
</cp:coreProperties>
</file>